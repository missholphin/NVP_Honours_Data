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48f02162ba686543/Other/Documents/GitHub/NVP_Honours_Data/Data Appendix/"/>
    </mc:Choice>
  </mc:AlternateContent>
  <xr:revisionPtr revIDLastSave="3" documentId="13_ncr:1_{423337BB-9851-40A8-83B2-C8E81C15A5A8}" xr6:coauthVersionLast="47" xr6:coauthVersionMax="47" xr10:uidLastSave="{838A4ECB-39DC-4C22-9B2C-2BD0943ABA9A}"/>
  <bookViews>
    <workbookView xWindow="-110" yWindow="-110" windowWidth="19420" windowHeight="10300" firstSheet="1" activeTab="1" xr2:uid="{00000000-000D-0000-FFFF-FFFF00000000}"/>
  </bookViews>
  <sheets>
    <sheet name="Index" sheetId="8" r:id="rId1"/>
    <sheet name="Calculator Page" sheetId="1" r:id="rId2"/>
    <sheet name="Recurrence Interval" sheetId="2" r:id="rId3"/>
    <sheet name="Lahars" sheetId="3" r:id="rId4"/>
    <sheet name="PDCs" sheetId="4" r:id="rId5"/>
    <sheet name="Tephra" sheetId="5" r:id="rId6"/>
    <sheet name="Volcanic Tsunami" sheetId="6" r:id="rId7"/>
    <sheet name="Littoral Hazards" sheetId="7" r:id="rId8"/>
    <sheet name="Bibliography" sheetId="10"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7" l="1"/>
  <c r="C8" i="1" s="1"/>
  <c r="B24" i="1" s="1"/>
  <c r="C8" i="6"/>
  <c r="C7" i="1" s="1"/>
  <c r="B23" i="1" s="1"/>
  <c r="D20" i="5"/>
  <c r="D21" i="5" s="1"/>
  <c r="C6" i="1" s="1"/>
  <c r="B22" i="1" s="1"/>
  <c r="D11" i="4"/>
  <c r="C5" i="1" s="1"/>
  <c r="B21" i="1" s="1"/>
  <c r="C10" i="3"/>
  <c r="C4" i="1" s="1"/>
  <c r="B20" i="1" s="1"/>
  <c r="C11" i="2"/>
  <c r="C3" i="1" s="1"/>
  <c r="D8" i="1"/>
  <c r="D7" i="1"/>
  <c r="D6" i="1"/>
  <c r="D5" i="1"/>
  <c r="D4" i="1"/>
  <c r="D3" i="1"/>
  <c r="B19" i="1" l="1"/>
  <c r="C11" i="1"/>
</calcChain>
</file>

<file path=xl/sharedStrings.xml><?xml version="1.0" encoding="utf-8"?>
<sst xmlns="http://schemas.openxmlformats.org/spreadsheetml/2006/main" count="189" uniqueCount="136">
  <si>
    <t>Total Score</t>
  </si>
  <si>
    <t>Weight</t>
  </si>
  <si>
    <t>Custom Weights (optional)</t>
  </si>
  <si>
    <t>Eruption Habits</t>
  </si>
  <si>
    <t>Recurrence Interval</t>
  </si>
  <si>
    <t>Associated Hazards</t>
  </si>
  <si>
    <t>Lahars</t>
  </si>
  <si>
    <t>PDCs</t>
  </si>
  <si>
    <t>Tephra</t>
  </si>
  <si>
    <t>Volcanic Tsunami</t>
  </si>
  <si>
    <t>Littoral/Ocean Entry Hazards (Laze)</t>
  </si>
  <si>
    <t>Total Hazard Score:</t>
  </si>
  <si>
    <t xml:space="preserve">Maximum possible score: </t>
  </si>
  <si>
    <r>
      <rPr>
        <b/>
        <sz val="12"/>
        <color theme="1"/>
        <rFont val="Arial"/>
        <family val="2"/>
      </rPr>
      <t xml:space="preserve">Please do not edit on this page! </t>
    </r>
    <r>
      <rPr>
        <sz val="12"/>
        <color theme="1"/>
        <rFont val="Arial"/>
        <family val="2"/>
      </rPr>
      <t>These cells automatically update from activity in other cells</t>
    </r>
  </si>
  <si>
    <t>These cells can be edited as needed</t>
  </si>
  <si>
    <t>Taylor Thesis Weights</t>
  </si>
  <si>
    <t>Condition</t>
  </si>
  <si>
    <t>Tick box if yes</t>
  </si>
  <si>
    <t>Points</t>
  </si>
  <si>
    <t>Rationale</t>
  </si>
  <si>
    <t>If eruption interval is 1-99 years</t>
  </si>
  <si>
    <t>If eruption interval is 100-1000 years</t>
  </si>
  <si>
    <t>If eruption interval is 1000-5000 years</t>
  </si>
  <si>
    <t>If eruption interval is 5000-10000 years</t>
  </si>
  <si>
    <t>If eruption interval is &gt;10000 years</t>
  </si>
  <si>
    <t>If no known Holocene eruption, volcano type = 0</t>
  </si>
  <si>
    <t>If no known Holocene eruption, volcano type = 1</t>
  </si>
  <si>
    <t>Total score:</t>
  </si>
  <si>
    <t>If volcanic eruption has produced a lahar in recorded history, or geological evidence of lahar exists</t>
  </si>
  <si>
    <t>Slope &gt;25%</t>
  </si>
  <si>
    <t>Steepness alone doesn't guarantee lahar without water + material (Vallance &amp; Iverson, 2015)</t>
  </si>
  <si>
    <t>Evidence of past explosive eruptions (VEI ≥ 2) or intermediate to felsic geochemistry (&gt;53% SiO₂)</t>
  </si>
  <si>
    <t>Brown et al. (2017) More explosive eruptions produce more material (debris)</t>
  </si>
  <si>
    <t xml:space="preserve">Above 1168mm annual rainfall (global average) </t>
  </si>
  <si>
    <t>Lahar potential https://shorturl.at/39sEl</t>
  </si>
  <si>
    <t>Average annual rainfall above &gt;2500mm</t>
  </si>
  <si>
    <t>PDCS</t>
  </si>
  <si>
    <t>If volcanic eruption has produced a PDC in recorded history, or geological evidence of PDC exists</t>
  </si>
  <si>
    <t xml:space="preserve">Volcano has since rebuilt its flank
</t>
  </si>
  <si>
    <t>Slope &gt;15%</t>
  </si>
  <si>
    <t>(Brand et al., 2016) - Steepness alone doesn't guarantee PDC without material + collapse</t>
  </si>
  <si>
    <t>Brown et al. (2017)</t>
  </si>
  <si>
    <t>Dome Height</t>
  </si>
  <si>
    <t>&gt;150m</t>
  </si>
  <si>
    <t>Taller/steeper domes result in faster and longer currents (Breard, 2016; Dufek et al., 2015; Valentine et al., 2011)</t>
  </si>
  <si>
    <t>50-150m</t>
  </si>
  <si>
    <t>&lt;50m</t>
  </si>
  <si>
    <t>PM 2.5 long-term mean &gt;5µg/m^3</t>
  </si>
  <si>
    <t>Pollution proven to exacerbate health impacts of ashfall (Tomašek et al., 2016)</t>
  </si>
  <si>
    <t>Evidence of past explosive eruptions (VEI ≥ 2)</t>
  </si>
  <si>
    <t>Produce more intense ballistics (Mastrolorenzo et al., 2008; Williams, 2016)</t>
  </si>
  <si>
    <t>Ballistics can form from both wet and dry eruptions, but ballistics from wet eruptions can travel further (Allen &amp; Smith, 1994)</t>
  </si>
  <si>
    <t>Buildings or infrastructure within 3km radius of volcano</t>
  </si>
  <si>
    <t>Approximate maximum distance for ballistic ejecta to travel in violent phreatomagmatic eruptions (Allen &amp; Smith, 1994) - can result in significant building damage and fatality</t>
  </si>
  <si>
    <t>Volcano Type</t>
  </si>
  <si>
    <t>Type 0: Volcano type is cinder cone, basaltic field, small shield, or fissure vents</t>
  </si>
  <si>
    <t>Type 1: Volcano type is stratocone, lava domes, complex volcano, maar or caldera</t>
  </si>
  <si>
    <t>Explosivity</t>
  </si>
  <si>
    <t>Maximum known VEI = 2 (or Icelandic or Hawaiian style)</t>
  </si>
  <si>
    <t xml:space="preserve">Maximum known VEI = 3 or 4 (or Surtseyan, Phreatomagmatic or Strombolian eruption style)
</t>
  </si>
  <si>
    <t>Maximum known VEI = 5 or 6 (or Vulcanian or Peléan eruption style)</t>
  </si>
  <si>
    <t>Maximum known VEI = 7 (or Plinian eruption style)</t>
  </si>
  <si>
    <t>No maximum VEI recorded and volcano type= 0</t>
  </si>
  <si>
    <t>No maximum VEI recorded and volcano type= 1</t>
  </si>
  <si>
    <t>Contribution:</t>
  </si>
  <si>
    <t>Submarine volcano, or volcano with permanent water source</t>
  </si>
  <si>
    <t>These volcano types are most capable of producing tsunamis (Day, 2015)</t>
  </si>
  <si>
    <t>&lt;15km from shoreline</t>
  </si>
  <si>
    <t>Unstable slopes</t>
  </si>
  <si>
    <t>Can cause sudden ground deformation (Day, 2015)</t>
  </si>
  <si>
    <t>PDC Score &gt;10</t>
  </si>
  <si>
    <t>Largest tsunamis tend to occur as a result of PDCs (Latter, 1981)</t>
  </si>
  <si>
    <t>Littoral/Ocean Entry Hazards</t>
  </si>
  <si>
    <t>Subaerial vent &lt;15km from shoreline</t>
  </si>
  <si>
    <t>Steep slope of lava delta (&gt;20º)</t>
  </si>
  <si>
    <t>More likely to result in lava delta collapse (Di Traglia et al., 2018; Taylor‐West et al., 2024)</t>
  </si>
  <si>
    <t>Existence of lava delta</t>
  </si>
  <si>
    <t>Lava delta collapse is the primary cause of ocean entry hazards</t>
  </si>
  <si>
    <t>Most littoral hazards occur in coastal settings, however lava flow interaction with surface water can produce significant hazards (Boreham et al., 2020)</t>
  </si>
  <si>
    <t>Metadata</t>
  </si>
  <si>
    <t>Description:</t>
  </si>
  <si>
    <t>Sheet overview:</t>
  </si>
  <si>
    <t>How to use:</t>
  </si>
  <si>
    <t>Last updated:</t>
  </si>
  <si>
    <t>Author Information</t>
  </si>
  <si>
    <t xml:space="preserve">Name: </t>
  </si>
  <si>
    <t>Holly Rose Taylor</t>
  </si>
  <si>
    <t>Email:</t>
  </si>
  <si>
    <t>hrtaylor2003@gmail.com</t>
  </si>
  <si>
    <t>ORCID:</t>
  </si>
  <si>
    <t>0009-0005-8162-5946</t>
  </si>
  <si>
    <t>Github:</t>
  </si>
  <si>
    <t>https://github.com/missholphin</t>
  </si>
  <si>
    <t>Column name</t>
  </si>
  <si>
    <t>Description</t>
  </si>
  <si>
    <t>Column Index (scoring sheets)</t>
  </si>
  <si>
    <t>If condition is met, the checkbox in this column can be checked. The score will be automatically added.</t>
  </si>
  <si>
    <t>Supporting research behind the creation of each condition and the assignment of points</t>
  </si>
  <si>
    <t>The condition, formed from proxy data, that can indicate the potential hazard of an eruptive centre.</t>
  </si>
  <si>
    <t>The amount of points assigned to each condition.</t>
  </si>
  <si>
    <t>This is the hazard scoring sheet for the eruptive centres in the Central Highlands subprovince of SE Australia's Newer Volcanics Province. The dataset was produced to quantify potential hazards based on proxy data, and to prioritise future fieldwork and analyses on under‑researched centres.</t>
  </si>
  <si>
    <t>The typical distance of basaltic lava flows (Kilburn, 2015)</t>
  </si>
  <si>
    <r>
      <rPr>
        <b/>
        <sz val="11"/>
        <color theme="1"/>
        <rFont val="Arial"/>
        <family val="2"/>
        <scheme val="minor"/>
      </rPr>
      <t>Sheet 2</t>
    </r>
    <r>
      <rPr>
        <sz val="11"/>
        <color rgb="FF000000"/>
        <rFont val="Arial"/>
        <family val="2"/>
        <scheme val="minor"/>
      </rPr>
      <t xml:space="preserve"> - Automatically updating page with values from other sheets                                                                                                   </t>
    </r>
    <r>
      <rPr>
        <b/>
        <sz val="11"/>
        <color theme="1"/>
        <rFont val="Arial"/>
        <family val="2"/>
        <scheme val="minor"/>
      </rPr>
      <t xml:space="preserve">Sheet 3 </t>
    </r>
    <r>
      <rPr>
        <sz val="11"/>
        <color theme="1"/>
        <rFont val="Arial"/>
        <family val="2"/>
        <scheme val="minor"/>
      </rPr>
      <t xml:space="preserve">- Recurrence interval checkbox scoring                        </t>
    </r>
    <r>
      <rPr>
        <b/>
        <sz val="11"/>
        <color theme="1"/>
        <rFont val="Arial"/>
        <family val="2"/>
        <scheme val="minor"/>
      </rPr>
      <t>Sheet 4</t>
    </r>
    <r>
      <rPr>
        <sz val="11"/>
        <color theme="1"/>
        <rFont val="Arial"/>
        <family val="2"/>
        <scheme val="minor"/>
      </rPr>
      <t xml:space="preserve"> - Lahars checkbox scoring                                              </t>
    </r>
    <r>
      <rPr>
        <b/>
        <sz val="11"/>
        <color theme="1"/>
        <rFont val="Arial"/>
        <family val="2"/>
        <scheme val="minor"/>
      </rPr>
      <t>Sheet 5</t>
    </r>
    <r>
      <rPr>
        <sz val="11"/>
        <color theme="1"/>
        <rFont val="Arial"/>
        <family val="2"/>
        <scheme val="minor"/>
      </rPr>
      <t xml:space="preserve"> - Pyroclastic density current (PDC) scoring                    </t>
    </r>
    <r>
      <rPr>
        <b/>
        <sz val="11"/>
        <color theme="1"/>
        <rFont val="Arial"/>
        <family val="2"/>
        <scheme val="minor"/>
      </rPr>
      <t>Sheet 6</t>
    </r>
    <r>
      <rPr>
        <sz val="11"/>
        <color theme="1"/>
        <rFont val="Arial"/>
        <family val="2"/>
        <scheme val="minor"/>
      </rPr>
      <t xml:space="preserve"> - Tephra scoring                                                              </t>
    </r>
    <r>
      <rPr>
        <b/>
        <sz val="11"/>
        <color theme="1"/>
        <rFont val="Arial"/>
        <family val="2"/>
        <scheme val="minor"/>
      </rPr>
      <t>Sheet 7</t>
    </r>
    <r>
      <rPr>
        <sz val="11"/>
        <color theme="1"/>
        <rFont val="Arial"/>
        <family val="2"/>
        <scheme val="minor"/>
      </rPr>
      <t xml:space="preserve"> - Volcanic tsunami scoring                                                               </t>
    </r>
    <r>
      <rPr>
        <b/>
        <sz val="11"/>
        <color theme="1"/>
        <rFont val="Arial"/>
        <family val="2"/>
        <scheme val="minor"/>
      </rPr>
      <t>Sheet 8</t>
    </r>
    <r>
      <rPr>
        <sz val="11"/>
        <color theme="1"/>
        <rFont val="Arial"/>
        <family val="2"/>
        <scheme val="minor"/>
      </rPr>
      <t xml:space="preserve"> - Littoral hazards scoring                                                </t>
    </r>
    <r>
      <rPr>
        <b/>
        <sz val="11"/>
        <color theme="1"/>
        <rFont val="Arial"/>
        <family val="2"/>
        <scheme val="minor"/>
      </rPr>
      <t>Sheet 9</t>
    </r>
    <r>
      <rPr>
        <sz val="11"/>
        <color theme="1"/>
        <rFont val="Arial"/>
        <family val="2"/>
        <scheme val="minor"/>
      </rPr>
      <t xml:space="preserve"> -  Bibliography with references used to assess data completeness and hazard potential, in APA 7th format and alphabetised by author then title.</t>
    </r>
  </si>
  <si>
    <t>When scoring individual eruptive centres, the checkboxes on Sheets 3 through 8 can be filled in based on the information the user has. The numbers on Sheet 2 automatically update and calculate the hazard score.</t>
  </si>
  <si>
    <t>From Ewert (2018)</t>
  </si>
  <si>
    <t>Adapted from Ewert (2018). The longer felsic volcanoes have been in repose, the more likely they are to awaken with a higher VEI (Bebbington, 2014). Therefore, explosive volcanoes cannot be assigned a 0 solely based on dormancy</t>
  </si>
  <si>
    <t>From Ewert (2018) - Phreatomagmatic eruption + lahar potential</t>
  </si>
  <si>
    <t>From Ewert (2018) - does not guarantee future occurrence</t>
  </si>
  <si>
    <t xml:space="preserve">From Ewert (2018) - More debris volume + instability
</t>
  </si>
  <si>
    <t>From Ewert (2018) - these volcano types tend to produce more effusive eruptions. This does not mean there will be no hazard</t>
  </si>
  <si>
    <t>From Ewert (2018) - these volcano types tend to produce more explosive eruptions</t>
  </si>
  <si>
    <t>Ewert (2018)</t>
  </si>
  <si>
    <t>Ewert (2018) Worst case scenario - no guarantee that this will happen again</t>
  </si>
  <si>
    <t>Standard extent of basaltic lava flows (Kilburn, 2015)</t>
  </si>
  <si>
    <t>References</t>
  </si>
  <si>
    <t>Citation</t>
  </si>
  <si>
    <t>Allen, S. R., &amp; Smith, I. E. M. (1994). Eruption styles and volcanic hazard in the Auckland Volcanic Field, New zealand. Geoscience Reports of Shizuoka University, 20, 5–14. </t>
  </si>
  <si>
    <t>Bebbington, M. S. (2014). Long-term forecasting of volcanic explosivity. Geophysical Journal International, 197(3), 1500–1515. https://doi.org/10.1093/gji/ggu078 </t>
  </si>
  <si>
    <t>Boreham, F., Cashman, K., &amp; Rust, A. (2020). Hazards from lava–river interactions during the 1783–1784 Laki fissure eruption. GSA Bulletin, 132(11–12), 2651–2668. https://doi.org/10.1130/B35183.1 </t>
  </si>
  <si>
    <t>Brand, B. D., Bendaña, S., Self, S., &amp; Pollock, N. (2016). Topographic controls on pyroclastic density current dynamics: Insight from 18 May 1980 deposits at Mount St. Helens, Washington (USA). Journal of Volcanology and Geothermal Research, 321, 1–17. https://doi.org/10.1016/j.jvolgeores.2016.04.018 </t>
  </si>
  <si>
    <t>Breard, E. (2016). Dynamics of pyroclastic density currents [PhD Thesis]. Masey University. </t>
  </si>
  <si>
    <t>Brown, S. K., Jenkins, S. F., Sparks, R. S. J., Odbert, H., &amp; Auker, M. R. (2017). Volcanic fatalities database: Analysis of volcanic threat with distance and victim classification. Journal of Applied Volcanology, 6(1), 15. https://doi.org/10.1186/s13617-017-0067-4 </t>
  </si>
  <si>
    <t>Day, S. J. (2015). Volcanic Tsunamis. In The Encyclopedia of Volcanoes (pp. 993–1009). Elsevier. https://doi.org/10.1016/B978-0-12-385938-9.00058-4 </t>
  </si>
  <si>
    <t>Di Traglia, F., Nolesini, T., Solari, L., Ciampalini, A., Frodella, W., Steri, D., Allotta, B., Rindi, A., Marini, L., Monni, N., Galardi, E., &amp; Casagli, N. (2018). Lava delta deformation as a proxy for submarine slope instability. Earth and Planetary Science Letters, 488, 46–58. https://doi.org/10.1016/j.epsl.2018.01.038 </t>
  </si>
  <si>
    <t>Dufek, J., Esposti Ongaro, T., &amp; Roche, O. (2015). Pyroclastic Density Currents: Processes and Models. In The Encyclopedia of Volcanoes (pp. 617–629). Elsevier. https://doi.org/10.1016/B978-0-12-385938-9.00035-3 </t>
  </si>
  <si>
    <t>Ewert, J., Diefenbach, A., &amp; Ramsey, D. W. (2018). 2018 Update to the U.S. Geological Survey National Volcanic Threat Assessment (Scientific Investigations Report) [Scientific Investigations Report]. https://doi.org/10.3133/sir20185140 </t>
  </si>
  <si>
    <t>Kilburn, C. R. J. (2015). Lava Flow Hazards and Modeling. In The Encyclopedia of Volcanoes (pp. 957–969). Elsevier. https://doi.org/10.1016/B978-0-12-385938-9.00055-9 </t>
  </si>
  <si>
    <t>Latter, J. H. (1981). Tsunamis of volcanic origin: Summary of causes, with particular reference to Krakatoa, 1883. Bulletin Volcanologique, 44(3), 467–490. https://doi.org/10.1007/bf02600578 </t>
  </si>
  <si>
    <t>Mastrolorenzo, G., Pappalardo, L., Troise, C., Panizza, A., &amp; De Natale, G. (2008). Probabilistic tephra hazard maps for the Neapolitan area: Quantitative volcanological study of Campi Flegrei eruptions. Journal of Geophysical Research: Solid Earth, 113(B7), 2007JB004954. https://doi.org/10.1029/2007JB004954 </t>
  </si>
  <si>
    <t>Taylor‐West, J. J., Balmforth, N. J., &amp; Hogg, A. J. (2024). Lava Delta Formation: Mathematical Modeling and Laboratory Experiments. Journal of Geophysical Research: Earth Surface, 129(5), e2023JF007505. https://doi.org/10.1029/2023JF007505 </t>
  </si>
  <si>
    <t>Tomašek, I., Horwell, C. J., Damby, D. E., Barošová, H., Geers, C., Petri-Fink, A., Rothen-Rutishauser, B., &amp; Clift, M. J. D. (2016). Combined exposure of diesel exhaust particles and respirable Soufrière Hills volcanic ash causes a (pro-)inflammatory response in an in vitro multicellular epithelial tissue barrier model. Particle and Fibre Toxicology, 13(1), 67. https://doi.org/10.1186/s12989-016-0178-9 </t>
  </si>
  <si>
    <t>Valentine, G. A., Doronzo, D. M., Dellino, P., &amp; De Tullio, M. D. (2011). Effects of volcano profile on dilute pyroclastic density currents: Numerical simulations. Geology, 39(10), 947–950. https://doi.org/10.1130/g31936.1 </t>
  </si>
  <si>
    <t>Vallance, J. W., &amp; Iverson, R. M. (2015). Lahars and Their Deposits. In The Encyclopedia of Volcanoes (pp. 649–664). Elsevier. https://doi.org/10.1016/B978-0-12-385938-9.00037-7 </t>
  </si>
  <si>
    <t xml:space="preserve">Williams, G. T. (2016). The vulnerablity of Auckland city’s buildings to tephra hazards. [University of Canterbury]. https://doi.org/10.26021/5816 </t>
  </si>
  <si>
    <t>If volcano has a source of permanent water/ice on edifice, water volume &gt;10^6 m3, there are rivers in close proximity or there is a known aquifer  (&gt;10km) underground</t>
  </si>
  <si>
    <t>If volcano has a source of permanent water/ice on edifice, water volume &gt;10^6 m3, or there is a known aquifer (&lt;10km) underground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</si>
</sst>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rgb="FF000000"/>
      <name val="Arial"/>
      <scheme val="minor"/>
    </font>
    <font>
      <sz val="11"/>
      <color theme="1"/>
      <name val="Arial"/>
      <family val="2"/>
      <scheme val="minor"/>
    </font>
    <font>
      <sz val="11"/>
      <color theme="1"/>
      <name val="Arial"/>
      <family val="2"/>
      <scheme val="minor"/>
    </font>
    <font>
      <sz val="10"/>
      <color theme="1"/>
      <name val="Arial"/>
      <family val="2"/>
      <scheme val="minor"/>
    </font>
    <font>
      <b/>
      <sz val="10"/>
      <color theme="1"/>
      <name val="Arial"/>
      <family val="2"/>
      <scheme val="minor"/>
    </font>
    <font>
      <u/>
      <sz val="10"/>
      <color rgb="FF0000FF"/>
      <name val="Arial"/>
      <family val="2"/>
    </font>
    <font>
      <u/>
      <sz val="10"/>
      <color rgb="FF0000FF"/>
      <name val="Arial"/>
      <family val="2"/>
    </font>
    <font>
      <sz val="10"/>
      <name val="Arial"/>
      <family val="2"/>
    </font>
    <font>
      <u/>
      <sz val="10"/>
      <color rgb="FF0000FF"/>
      <name val="Arial"/>
      <family val="2"/>
    </font>
    <font>
      <sz val="12"/>
      <color theme="1"/>
      <name val="Arial"/>
      <family val="2"/>
      <scheme val="minor"/>
    </font>
    <font>
      <sz val="10"/>
      <color rgb="FFFFFFFF"/>
      <name val="Arial"/>
      <family val="2"/>
      <scheme val="minor"/>
    </font>
    <font>
      <sz val="10"/>
      <color theme="1"/>
      <name val="Roboto"/>
    </font>
    <font>
      <sz val="10"/>
      <color rgb="FF000000"/>
      <name val="Roboto"/>
    </font>
    <font>
      <b/>
      <sz val="12"/>
      <color theme="1"/>
      <name val="Arial"/>
      <family val="2"/>
    </font>
    <font>
      <sz val="12"/>
      <color theme="1"/>
      <name val="Arial"/>
      <family val="2"/>
    </font>
    <font>
      <b/>
      <sz val="11"/>
      <color theme="1"/>
      <name val="Arial"/>
      <family val="2"/>
      <scheme val="minor"/>
    </font>
    <font>
      <sz val="11"/>
      <color theme="0"/>
      <name val="Arial"/>
      <family val="2"/>
      <scheme val="minor"/>
    </font>
    <font>
      <b/>
      <sz val="18"/>
      <color theme="1"/>
      <name val="Arial"/>
      <family val="2"/>
      <scheme val="minor"/>
    </font>
    <font>
      <u/>
      <sz val="11"/>
      <color theme="10"/>
      <name val="Arial"/>
      <family val="2"/>
      <scheme val="minor"/>
    </font>
    <font>
      <sz val="11"/>
      <color rgb="FF000000"/>
      <name val="Aptos Narrow"/>
      <family val="2"/>
    </font>
    <font>
      <b/>
      <sz val="18"/>
      <color rgb="FF000000"/>
      <name val="Aptos Narrow"/>
      <family val="2"/>
    </font>
    <font>
      <sz val="18"/>
      <name val="Aptos Narrow"/>
      <family val="2"/>
    </font>
    <font>
      <sz val="11"/>
      <name val="Aptos Narrow"/>
      <family val="2"/>
    </font>
    <font>
      <sz val="10"/>
      <color theme="1"/>
      <name val="Arial"/>
      <family val="2"/>
      <scheme val="minor"/>
    </font>
    <font>
      <sz val="11"/>
      <color rgb="FF000000"/>
      <name val="Arial"/>
      <family val="2"/>
      <scheme val="minor"/>
    </font>
    <font>
      <b/>
      <sz val="10"/>
      <color rgb="FF000000"/>
      <name val="Arial"/>
      <family val="2"/>
      <scheme val="minor"/>
    </font>
    <font>
      <sz val="18"/>
      <color theme="1"/>
      <name val="Arial"/>
      <family val="2"/>
      <scheme val="minor"/>
    </font>
  </fonts>
  <fills count="16">
    <fill>
      <patternFill patternType="none"/>
    </fill>
    <fill>
      <patternFill patternType="gray125"/>
    </fill>
    <fill>
      <patternFill patternType="solid">
        <fgColor rgb="FFEAD1DC"/>
        <bgColor rgb="FFEAD1DC"/>
      </patternFill>
    </fill>
    <fill>
      <patternFill patternType="solid">
        <fgColor rgb="FFFCE5CD"/>
        <bgColor rgb="FFFCE5CD"/>
      </patternFill>
    </fill>
    <fill>
      <patternFill patternType="solid">
        <fgColor rgb="FFD9D2E9"/>
        <bgColor rgb="FFD9D2E9"/>
      </patternFill>
    </fill>
    <fill>
      <patternFill patternType="solid">
        <fgColor rgb="FFC9DAF8"/>
        <bgColor rgb="FFC9DAF8"/>
      </patternFill>
    </fill>
    <fill>
      <patternFill patternType="solid">
        <fgColor theme="5" tint="0.79998168889431442"/>
        <bgColor indexed="65"/>
      </patternFill>
    </fill>
    <fill>
      <patternFill patternType="solid">
        <fgColor theme="5" tint="0.39997558519241921"/>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rgb="FFF5F2D1"/>
        <bgColor indexed="64"/>
      </patternFill>
    </fill>
    <fill>
      <patternFill patternType="solid">
        <fgColor rgb="FFF1A983"/>
        <bgColor rgb="FFFFFFFF"/>
      </patternFill>
    </fill>
    <fill>
      <patternFill patternType="solid">
        <fgColor rgb="FFFBE2D5"/>
        <bgColor rgb="FFFFFFFF"/>
      </patternFill>
    </fill>
    <fill>
      <patternFill patternType="solid">
        <fgColor rgb="FF83CCEB"/>
        <bgColor rgb="FF000000"/>
      </patternFill>
    </fill>
    <fill>
      <patternFill patternType="solid">
        <fgColor rgb="FFCAEDFB"/>
        <bgColor rgb="FF000000"/>
      </patternFill>
    </fill>
    <fill>
      <patternFill patternType="solid">
        <fgColor rgb="FF83E28E"/>
        <bgColor rgb="FFFFFFFF"/>
      </patternFill>
    </fill>
  </fills>
  <borders count="3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666666"/>
      </left>
      <right/>
      <top style="thin">
        <color rgb="FF666666"/>
      </top>
      <bottom/>
      <diagonal/>
    </border>
    <border>
      <left/>
      <right/>
      <top style="thin">
        <color rgb="FF666666"/>
      </top>
      <bottom/>
      <diagonal/>
    </border>
    <border>
      <left/>
      <right style="thin">
        <color rgb="FF666666"/>
      </right>
      <top style="thin">
        <color rgb="FF666666"/>
      </top>
      <bottom/>
      <diagonal/>
    </border>
    <border>
      <left style="thin">
        <color rgb="FF666666"/>
      </left>
      <right/>
      <top/>
      <bottom/>
      <diagonal/>
    </border>
    <border>
      <left/>
      <right style="thin">
        <color rgb="FF666666"/>
      </right>
      <top/>
      <bottom/>
      <diagonal/>
    </border>
    <border>
      <left style="thin">
        <color rgb="FF666666"/>
      </left>
      <right/>
      <top/>
      <bottom style="thin">
        <color rgb="FF666666"/>
      </bottom>
      <diagonal/>
    </border>
    <border>
      <left/>
      <right/>
      <top/>
      <bottom style="thin">
        <color rgb="FF666666"/>
      </bottom>
      <diagonal/>
    </border>
    <border>
      <left/>
      <right style="thin">
        <color rgb="FF666666"/>
      </right>
      <top/>
      <bottom style="thin">
        <color rgb="FF666666"/>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7">
    <xf numFmtId="0" fontId="0" fillId="0" borderId="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0" borderId="0"/>
    <xf numFmtId="0" fontId="18" fillId="0" borderId="0" applyNumberFormat="0" applyFill="0" applyBorder="0" applyAlignment="0" applyProtection="0"/>
  </cellStyleXfs>
  <cellXfs count="122">
    <xf numFmtId="0" fontId="0" fillId="0" borderId="0" xfId="0"/>
    <xf numFmtId="0" fontId="4" fillId="3" borderId="0" xfId="0" applyFont="1" applyFill="1" applyAlignment="1">
      <alignment wrapText="1"/>
    </xf>
    <xf numFmtId="0" fontId="5" fillId="0" borderId="5" xfId="0" applyFont="1" applyBorder="1"/>
    <xf numFmtId="3" fontId="3" fillId="2" borderId="6" xfId="0" applyNumberFormat="1" applyFont="1" applyFill="1" applyBorder="1"/>
    <xf numFmtId="0" fontId="3" fillId="2" borderId="7" xfId="0" applyFont="1" applyFill="1" applyBorder="1"/>
    <xf numFmtId="0" fontId="3" fillId="3" borderId="0" xfId="0" applyFont="1" applyFill="1"/>
    <xf numFmtId="0" fontId="6" fillId="0" borderId="2" xfId="0" applyFont="1" applyBorder="1"/>
    <xf numFmtId="3" fontId="3" fillId="2" borderId="1" xfId="0" applyNumberFormat="1" applyFont="1" applyFill="1" applyBorder="1"/>
    <xf numFmtId="0" fontId="3" fillId="2" borderId="8" xfId="0" applyFont="1" applyFill="1" applyBorder="1"/>
    <xf numFmtId="0" fontId="8" fillId="0" borderId="0" xfId="0" applyFont="1"/>
    <xf numFmtId="3" fontId="3" fillId="2" borderId="10" xfId="0" applyNumberFormat="1" applyFont="1" applyFill="1" applyBorder="1"/>
    <xf numFmtId="0" fontId="4" fillId="0" borderId="12" xfId="0" applyFont="1" applyBorder="1"/>
    <xf numFmtId="0" fontId="4" fillId="2" borderId="12" xfId="0" applyFont="1" applyFill="1" applyBorder="1"/>
    <xf numFmtId="0" fontId="9" fillId="2" borderId="0" xfId="0" applyFont="1" applyFill="1"/>
    <xf numFmtId="0" fontId="3" fillId="2" borderId="0" xfId="0" applyFont="1" applyFill="1"/>
    <xf numFmtId="0" fontId="4" fillId="2" borderId="4" xfId="0" applyFont="1" applyFill="1" applyBorder="1" applyAlignment="1">
      <alignment wrapText="1"/>
    </xf>
    <xf numFmtId="0" fontId="3" fillId="2" borderId="11" xfId="0" applyFont="1" applyFill="1" applyBorder="1"/>
    <xf numFmtId="0" fontId="10" fillId="0" borderId="0" xfId="0" applyFont="1"/>
    <xf numFmtId="0" fontId="3" fillId="2" borderId="4" xfId="0" applyFont="1" applyFill="1" applyBorder="1"/>
    <xf numFmtId="0" fontId="3" fillId="2" borderId="9" xfId="0" applyFont="1" applyFill="1" applyBorder="1"/>
    <xf numFmtId="0" fontId="3" fillId="0" borderId="0" xfId="0" applyFont="1"/>
    <xf numFmtId="0" fontId="3" fillId="4" borderId="1" xfId="0" applyFont="1" applyFill="1" applyBorder="1"/>
    <xf numFmtId="0" fontId="3" fillId="4" borderId="2" xfId="0" applyFont="1" applyFill="1" applyBorder="1"/>
    <xf numFmtId="0" fontId="3" fillId="4" borderId="3" xfId="0" applyFont="1" applyFill="1" applyBorder="1"/>
    <xf numFmtId="0" fontId="3" fillId="0" borderId="0" xfId="0" applyFont="1" applyAlignment="1">
      <alignment wrapText="1"/>
    </xf>
    <xf numFmtId="3" fontId="3" fillId="0" borderId="0" xfId="0" applyNumberFormat="1" applyFont="1"/>
    <xf numFmtId="0" fontId="4" fillId="5" borderId="12" xfId="0" applyFont="1" applyFill="1" applyBorder="1"/>
    <xf numFmtId="3" fontId="3" fillId="5" borderId="12" xfId="0" applyNumberFormat="1" applyFont="1" applyFill="1" applyBorder="1"/>
    <xf numFmtId="0" fontId="4" fillId="0" borderId="0" xfId="0" applyFont="1"/>
    <xf numFmtId="0" fontId="3" fillId="0" borderId="1" xfId="0" applyFont="1" applyBorder="1" applyAlignment="1">
      <alignment wrapText="1"/>
    </xf>
    <xf numFmtId="3" fontId="3" fillId="0" borderId="2" xfId="0" applyNumberFormat="1" applyFont="1" applyBorder="1"/>
    <xf numFmtId="0" fontId="3" fillId="0" borderId="3" xfId="0" applyFont="1" applyBorder="1" applyAlignment="1">
      <alignment wrapText="1"/>
    </xf>
    <xf numFmtId="0" fontId="3" fillId="0" borderId="10" xfId="0" applyFont="1" applyBorder="1" applyAlignment="1">
      <alignment wrapText="1"/>
    </xf>
    <xf numFmtId="0" fontId="3" fillId="0" borderId="8" xfId="0" applyFont="1" applyBorder="1" applyAlignment="1">
      <alignment wrapText="1"/>
    </xf>
    <xf numFmtId="0" fontId="3" fillId="0" borderId="10" xfId="0" applyFont="1" applyBorder="1"/>
    <xf numFmtId="0" fontId="11" fillId="0" borderId="10" xfId="0" applyFont="1" applyBorder="1" applyAlignment="1">
      <alignment wrapText="1"/>
    </xf>
    <xf numFmtId="0" fontId="3" fillId="0" borderId="8" xfId="0" applyFont="1" applyBorder="1"/>
    <xf numFmtId="0" fontId="11" fillId="0" borderId="0" xfId="0" applyFont="1"/>
    <xf numFmtId="0" fontId="11" fillId="0" borderId="5" xfId="0" applyFont="1" applyBorder="1"/>
    <xf numFmtId="0" fontId="3" fillId="0" borderId="5" xfId="0" applyFont="1" applyBorder="1"/>
    <xf numFmtId="0" fontId="3" fillId="4" borderId="0" xfId="0" applyFont="1" applyFill="1"/>
    <xf numFmtId="0" fontId="3" fillId="0" borderId="6" xfId="0" applyFont="1" applyBorder="1" applyAlignment="1">
      <alignment wrapText="1"/>
    </xf>
    <xf numFmtId="0" fontId="3" fillId="0" borderId="7" xfId="0" applyFont="1" applyBorder="1" applyAlignment="1">
      <alignment wrapText="1"/>
    </xf>
    <xf numFmtId="0" fontId="3" fillId="4" borderId="13" xfId="0" applyFont="1" applyFill="1" applyBorder="1"/>
    <xf numFmtId="0" fontId="3" fillId="4" borderId="14" xfId="0" applyFont="1" applyFill="1" applyBorder="1"/>
    <xf numFmtId="0" fontId="3" fillId="4" borderId="15" xfId="0" applyFont="1" applyFill="1" applyBorder="1"/>
    <xf numFmtId="3" fontId="3" fillId="0" borderId="5" xfId="0" applyNumberFormat="1" applyFont="1" applyBorder="1"/>
    <xf numFmtId="4" fontId="3" fillId="4" borderId="14" xfId="0" applyNumberFormat="1" applyFont="1" applyFill="1" applyBorder="1"/>
    <xf numFmtId="0" fontId="12" fillId="0" borderId="10" xfId="0" applyFont="1" applyBorder="1" applyAlignment="1">
      <alignment wrapText="1"/>
    </xf>
    <xf numFmtId="0" fontId="12" fillId="0" borderId="6" xfId="0" applyFont="1" applyBorder="1" applyAlignment="1">
      <alignment wrapText="1"/>
    </xf>
    <xf numFmtId="0" fontId="11" fillId="0" borderId="16" xfId="0" applyFont="1" applyBorder="1" applyAlignment="1">
      <alignment wrapText="1"/>
    </xf>
    <xf numFmtId="3" fontId="3" fillId="0" borderId="17" xfId="0" applyNumberFormat="1" applyFont="1" applyBorder="1"/>
    <xf numFmtId="0" fontId="3" fillId="0" borderId="18" xfId="0" applyFont="1" applyBorder="1" applyAlignment="1">
      <alignment wrapText="1"/>
    </xf>
    <xf numFmtId="0" fontId="11" fillId="0" borderId="19" xfId="0" applyFont="1" applyBorder="1" applyAlignment="1">
      <alignment wrapText="1"/>
    </xf>
    <xf numFmtId="0" fontId="3" fillId="0" borderId="20" xfId="0" applyFont="1" applyBorder="1" applyAlignment="1">
      <alignment wrapText="1"/>
    </xf>
    <xf numFmtId="0" fontId="11" fillId="0" borderId="21" xfId="0" applyFont="1" applyBorder="1"/>
    <xf numFmtId="3" fontId="3" fillId="0" borderId="22" xfId="0" applyNumberFormat="1" applyFont="1" applyBorder="1"/>
    <xf numFmtId="0" fontId="3" fillId="0" borderId="23" xfId="0" applyFont="1" applyBorder="1" applyAlignment="1">
      <alignment wrapText="1"/>
    </xf>
    <xf numFmtId="0" fontId="11" fillId="0" borderId="0" xfId="0" applyFont="1" applyAlignment="1">
      <alignment wrapText="1"/>
    </xf>
    <xf numFmtId="0" fontId="3" fillId="0" borderId="0" xfId="0" applyFont="1">
      <extLst>
        <ext xmlns:xfpb="http://schemas.microsoft.com/office/spreadsheetml/2022/featurepropertybag" uri="{C7286773-470A-42A8-94C5-96B5CB345126}">
          <xfpb:xfComplement i="0"/>
        </ext>
      </extLst>
    </xf>
    <xf numFmtId="0" fontId="3" fillId="0" borderId="2" xfId="0" applyFont="1" applyBorder="1">
      <extLst>
        <ext xmlns:xfpb="http://schemas.microsoft.com/office/spreadsheetml/2022/featurepropertybag" uri="{C7286773-470A-42A8-94C5-96B5CB345126}">
          <xfpb:xfComplement i="0"/>
        </ext>
      </extLst>
    </xf>
    <xf numFmtId="0" fontId="3" fillId="0" borderId="5" xfId="0" applyFont="1" applyBorder="1">
      <extLst>
        <ext xmlns:xfpb="http://schemas.microsoft.com/office/spreadsheetml/2022/featurepropertybag" uri="{C7286773-470A-42A8-94C5-96B5CB345126}">
          <xfpb:xfComplement i="0"/>
        </ext>
      </extLst>
    </xf>
    <xf numFmtId="0" fontId="3" fillId="0" borderId="17" xfId="0" applyFont="1" applyBorder="1">
      <extLst>
        <ext xmlns:xfpb="http://schemas.microsoft.com/office/spreadsheetml/2022/featurepropertybag" uri="{C7286773-470A-42A8-94C5-96B5CB345126}">
          <xfpb:xfComplement i="0"/>
        </ext>
      </extLst>
    </xf>
    <xf numFmtId="0" fontId="3" fillId="0" borderId="22" xfId="0" applyFont="1" applyBorder="1">
      <extLst>
        <ext xmlns:xfpb="http://schemas.microsoft.com/office/spreadsheetml/2022/featurepropertybag" uri="{C7286773-470A-42A8-94C5-96B5CB345126}">
          <xfpb:xfComplement i="0"/>
        </ext>
      </extLst>
    </xf>
    <xf numFmtId="0" fontId="4" fillId="0" borderId="9" xfId="0" applyFont="1" applyBorder="1" applyAlignment="1">
      <alignment horizontal="center" vertical="center" wrapText="1"/>
    </xf>
    <xf numFmtId="0" fontId="4" fillId="2" borderId="24" xfId="0" applyFont="1" applyFill="1" applyBorder="1"/>
    <xf numFmtId="0" fontId="4" fillId="2" borderId="25" xfId="0" applyFont="1" applyFill="1" applyBorder="1"/>
    <xf numFmtId="0" fontId="3" fillId="0" borderId="26" xfId="0" applyFont="1" applyBorder="1"/>
    <xf numFmtId="0" fontId="3" fillId="0" borderId="27" xfId="0" applyFont="1" applyBorder="1"/>
    <xf numFmtId="0" fontId="2" fillId="0" borderId="0" xfId="5"/>
    <xf numFmtId="0" fontId="16" fillId="0" borderId="0" xfId="1" applyFont="1" applyFill="1" applyBorder="1" applyAlignment="1">
      <alignment horizontal="left" wrapText="1"/>
    </xf>
    <xf numFmtId="0" fontId="2" fillId="0" borderId="0" xfId="5" applyAlignment="1">
      <alignment horizontal="left" wrapText="1"/>
    </xf>
    <xf numFmtId="0" fontId="17" fillId="0" borderId="0" xfId="5" applyFont="1"/>
    <xf numFmtId="0" fontId="2" fillId="10" borderId="34" xfId="4" applyFill="1" applyBorder="1"/>
    <xf numFmtId="0" fontId="2" fillId="0" borderId="35" xfId="5" applyBorder="1"/>
    <xf numFmtId="0" fontId="2" fillId="0" borderId="36" xfId="5" applyBorder="1" applyAlignment="1">
      <alignment wrapText="1"/>
    </xf>
    <xf numFmtId="0" fontId="2" fillId="0" borderId="35" xfId="5" applyBorder="1" applyAlignment="1">
      <alignment wrapText="1"/>
    </xf>
    <xf numFmtId="0" fontId="2" fillId="0" borderId="37" xfId="5" applyBorder="1"/>
    <xf numFmtId="0" fontId="2" fillId="0" borderId="38" xfId="5" applyBorder="1" applyAlignment="1">
      <alignment wrapText="1"/>
    </xf>
    <xf numFmtId="0" fontId="19" fillId="12" borderId="31" xfId="1" applyFont="1" applyFill="1" applyBorder="1" applyAlignment="1">
      <alignment vertical="top"/>
    </xf>
    <xf numFmtId="0" fontId="19" fillId="12" borderId="31" xfId="1" applyFont="1" applyFill="1" applyBorder="1" applyAlignment="1">
      <alignment horizontal="left" wrapText="1"/>
    </xf>
    <xf numFmtId="0" fontId="22" fillId="14" borderId="31" xfId="1" applyFont="1" applyFill="1" applyBorder="1" applyAlignment="1">
      <alignment horizontal="left" wrapText="1"/>
    </xf>
    <xf numFmtId="0" fontId="19" fillId="0" borderId="31" xfId="0" applyFont="1" applyBorder="1" applyAlignment="1">
      <alignment horizontal="left" wrapText="1"/>
    </xf>
    <xf numFmtId="0" fontId="19" fillId="0" borderId="31" xfId="0" applyFont="1" applyBorder="1"/>
    <xf numFmtId="0" fontId="19" fillId="14" borderId="31" xfId="0" applyFont="1" applyFill="1" applyBorder="1"/>
    <xf numFmtId="0" fontId="11" fillId="0" borderId="1" xfId="0" applyFont="1" applyBorder="1" applyAlignment="1">
      <alignment wrapText="1"/>
    </xf>
    <xf numFmtId="0" fontId="25" fillId="0" borderId="0" xfId="0" applyFont="1"/>
    <xf numFmtId="0" fontId="23" fillId="0" borderId="20" xfId="0" applyFont="1" applyBorder="1" applyAlignment="1">
      <alignment wrapText="1"/>
    </xf>
    <xf numFmtId="0" fontId="26" fillId="0" borderId="0" xfId="5" applyFont="1"/>
    <xf numFmtId="0" fontId="2" fillId="0" borderId="0" xfId="5" applyAlignment="1">
      <alignment wrapText="1"/>
    </xf>
    <xf numFmtId="0" fontId="26" fillId="0" borderId="0" xfId="5" applyFont="1" applyAlignment="1">
      <alignment wrapText="1"/>
    </xf>
    <xf numFmtId="0" fontId="19" fillId="15" borderId="0" xfId="3" applyFont="1" applyFill="1" applyBorder="1" applyAlignment="1">
      <alignment wrapText="1"/>
    </xf>
    <xf numFmtId="0" fontId="21" fillId="13" borderId="32" xfId="1" applyFont="1" applyFill="1" applyBorder="1" applyAlignment="1">
      <alignment horizontal="left" wrapText="1"/>
    </xf>
    <xf numFmtId="0" fontId="21" fillId="13" borderId="33" xfId="1" applyFont="1" applyFill="1" applyBorder="1" applyAlignment="1">
      <alignment horizontal="left" wrapText="1"/>
    </xf>
    <xf numFmtId="0" fontId="20" fillId="11" borderId="28" xfId="2" applyFont="1" applyFill="1" applyBorder="1" applyAlignment="1">
      <alignment horizontal="left"/>
    </xf>
    <xf numFmtId="0" fontId="20" fillId="11" borderId="29" xfId="2" applyFont="1" applyFill="1" applyBorder="1" applyAlignment="1">
      <alignment horizontal="left"/>
    </xf>
    <xf numFmtId="0" fontId="20" fillId="11" borderId="30" xfId="2" applyFont="1" applyFill="1" applyBorder="1" applyAlignment="1">
      <alignment horizontal="left"/>
    </xf>
    <xf numFmtId="0" fontId="2" fillId="0" borderId="32" xfId="5" applyBorder="1" applyAlignment="1">
      <alignment vertical="top" wrapText="1"/>
    </xf>
    <xf numFmtId="0" fontId="2" fillId="0" borderId="33" xfId="5" applyBorder="1" applyAlignment="1">
      <alignment vertical="top" wrapText="1"/>
    </xf>
    <xf numFmtId="0" fontId="2" fillId="0" borderId="32" xfId="5" applyBorder="1" applyAlignment="1">
      <alignment horizontal="left" vertical="top" wrapText="1"/>
    </xf>
    <xf numFmtId="0" fontId="2" fillId="0" borderId="33" xfId="5" applyBorder="1" applyAlignment="1">
      <alignment horizontal="left" vertical="top" wrapText="1"/>
    </xf>
    <xf numFmtId="14" fontId="2" fillId="0" borderId="32" xfId="5" applyNumberFormat="1" applyBorder="1" applyAlignment="1">
      <alignment horizontal="left" wrapText="1"/>
    </xf>
    <xf numFmtId="14" fontId="2" fillId="0" borderId="33" xfId="5" applyNumberFormat="1" applyBorder="1" applyAlignment="1">
      <alignment horizontal="left" wrapText="1"/>
    </xf>
    <xf numFmtId="0" fontId="4" fillId="0" borderId="4" xfId="0" applyFont="1" applyBorder="1" applyAlignment="1">
      <alignment horizontal="center" vertical="center" wrapText="1"/>
    </xf>
    <xf numFmtId="0" fontId="7" fillId="0" borderId="9" xfId="0" applyFont="1" applyBorder="1"/>
    <xf numFmtId="0" fontId="7" fillId="0" borderId="11" xfId="0" applyFont="1" applyBorder="1"/>
    <xf numFmtId="0" fontId="9" fillId="3" borderId="0" xfId="0" applyFont="1" applyFill="1"/>
    <xf numFmtId="0" fontId="0" fillId="0" borderId="0" xfId="0"/>
    <xf numFmtId="0" fontId="4" fillId="0" borderId="0" xfId="0" applyFont="1"/>
    <xf numFmtId="0" fontId="3" fillId="0" borderId="8" xfId="0" applyFont="1" applyBorder="1"/>
    <xf numFmtId="0" fontId="7" fillId="0" borderId="8" xfId="0" applyFont="1" applyBorder="1"/>
    <xf numFmtId="0" fontId="11" fillId="0" borderId="10" xfId="0" applyFont="1" applyBorder="1" applyAlignment="1">
      <alignment wrapText="1"/>
    </xf>
    <xf numFmtId="0" fontId="11" fillId="0" borderId="10" xfId="0" applyFont="1" applyBorder="1" applyAlignment="1">
      <alignment vertical="top" wrapText="1"/>
    </xf>
    <xf numFmtId="0" fontId="7" fillId="0" borderId="10" xfId="0" applyFont="1" applyBorder="1"/>
    <xf numFmtId="0" fontId="7" fillId="0" borderId="6" xfId="0" applyFont="1" applyBorder="1"/>
    <xf numFmtId="0" fontId="3" fillId="0" borderId="8" xfId="0" applyFont="1" applyBorder="1" applyAlignment="1">
      <alignment wrapText="1"/>
    </xf>
    <xf numFmtId="0" fontId="7" fillId="0" borderId="7" xfId="0" applyFont="1" applyBorder="1"/>
    <xf numFmtId="0" fontId="3" fillId="4" borderId="1" xfId="0" applyFont="1" applyFill="1" applyBorder="1"/>
    <xf numFmtId="0" fontId="7" fillId="0" borderId="2" xfId="0" applyFont="1" applyBorder="1"/>
    <xf numFmtId="0" fontId="3" fillId="0" borderId="1" xfId="0" applyFont="1" applyBorder="1" applyAlignment="1">
      <alignment wrapText="1"/>
    </xf>
    <xf numFmtId="0" fontId="11" fillId="0" borderId="10" xfId="0" applyFont="1" applyBorder="1"/>
    <xf numFmtId="0" fontId="4" fillId="0" borderId="0" xfId="0" applyFont="1" applyAlignment="1">
      <alignment horizontal="center" vertical="center" textRotation="90" wrapText="1"/>
    </xf>
  </cellXfs>
  <cellStyles count="7">
    <cellStyle name="20% - Accent2" xfId="1" builtinId="34"/>
    <cellStyle name="20% - Accent4" xfId="4" builtinId="42"/>
    <cellStyle name="40% - Accent3" xfId="3" builtinId="39"/>
    <cellStyle name="60% - Accent2" xfId="2" builtinId="36"/>
    <cellStyle name="Hyperlink 2" xfId="6" xr:uid="{80B6617D-F837-4169-985C-280D33E895D7}"/>
    <cellStyle name="Normal" xfId="0" builtinId="0"/>
    <cellStyle name="Normal 2" xfId="5" xr:uid="{E5DDC006-FA2F-423A-AC09-9C1DCE8AE91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doughnutChart>
        <c:varyColors val="1"/>
        <c:ser>
          <c:idx val="0"/>
          <c:order val="0"/>
          <c:dPt>
            <c:idx val="0"/>
            <c:bubble3D val="0"/>
            <c:spPr>
              <a:solidFill>
                <a:srgbClr val="4285F4"/>
              </a:solidFill>
            </c:spPr>
            <c:extLst>
              <c:ext xmlns:c16="http://schemas.microsoft.com/office/drawing/2014/chart" uri="{C3380CC4-5D6E-409C-BE32-E72D297353CC}">
                <c16:uniqueId val="{00000001-5FDA-49C5-A9C3-C90CF82DF230}"/>
              </c:ext>
            </c:extLst>
          </c:dPt>
          <c:dPt>
            <c:idx val="1"/>
            <c:bubble3D val="0"/>
            <c:spPr>
              <a:solidFill>
                <a:srgbClr val="EA4335"/>
              </a:solidFill>
            </c:spPr>
            <c:extLst>
              <c:ext xmlns:c16="http://schemas.microsoft.com/office/drawing/2014/chart" uri="{C3380CC4-5D6E-409C-BE32-E72D297353CC}">
                <c16:uniqueId val="{00000003-5FDA-49C5-A9C3-C90CF82DF230}"/>
              </c:ext>
            </c:extLst>
          </c:dPt>
          <c:dPt>
            <c:idx val="2"/>
            <c:bubble3D val="0"/>
            <c:spPr>
              <a:solidFill>
                <a:srgbClr val="FBBC04"/>
              </a:solidFill>
            </c:spPr>
            <c:extLst>
              <c:ext xmlns:c16="http://schemas.microsoft.com/office/drawing/2014/chart" uri="{C3380CC4-5D6E-409C-BE32-E72D297353CC}">
                <c16:uniqueId val="{00000005-5FDA-49C5-A9C3-C90CF82DF230}"/>
              </c:ext>
            </c:extLst>
          </c:dPt>
          <c:dPt>
            <c:idx val="3"/>
            <c:bubble3D val="0"/>
            <c:spPr>
              <a:solidFill>
                <a:srgbClr val="34A853"/>
              </a:solidFill>
            </c:spPr>
            <c:extLst>
              <c:ext xmlns:c16="http://schemas.microsoft.com/office/drawing/2014/chart" uri="{C3380CC4-5D6E-409C-BE32-E72D297353CC}">
                <c16:uniqueId val="{00000007-5FDA-49C5-A9C3-C90CF82DF230}"/>
              </c:ext>
            </c:extLst>
          </c:dPt>
          <c:dPt>
            <c:idx val="4"/>
            <c:bubble3D val="0"/>
            <c:spPr>
              <a:solidFill>
                <a:srgbClr val="FF6D01"/>
              </a:solidFill>
            </c:spPr>
            <c:extLst>
              <c:ext xmlns:c16="http://schemas.microsoft.com/office/drawing/2014/chart" uri="{C3380CC4-5D6E-409C-BE32-E72D297353CC}">
                <c16:uniqueId val="{00000009-5FDA-49C5-A9C3-C90CF82DF230}"/>
              </c:ext>
            </c:extLst>
          </c:dPt>
          <c:dPt>
            <c:idx val="5"/>
            <c:bubble3D val="0"/>
            <c:spPr>
              <a:solidFill>
                <a:srgbClr val="46BDC6"/>
              </a:solidFill>
            </c:spPr>
            <c:extLst>
              <c:ext xmlns:c16="http://schemas.microsoft.com/office/drawing/2014/chart" uri="{C3380CC4-5D6E-409C-BE32-E72D297353CC}">
                <c16:uniqueId val="{0000000B-5FDA-49C5-A9C3-C90CF82DF230}"/>
              </c:ext>
            </c:extLst>
          </c:dPt>
          <c:cat>
            <c:strRef>
              <c:f>'Calculator Page'!$B$3:$B$8</c:f>
              <c:strCache>
                <c:ptCount val="6"/>
                <c:pt idx="0">
                  <c:v>Recurrence Interval</c:v>
                </c:pt>
                <c:pt idx="1">
                  <c:v>Lahars</c:v>
                </c:pt>
                <c:pt idx="2">
                  <c:v>PDCs</c:v>
                </c:pt>
                <c:pt idx="3">
                  <c:v>Tephra</c:v>
                </c:pt>
                <c:pt idx="4">
                  <c:v>Volcanic Tsunami</c:v>
                </c:pt>
                <c:pt idx="5">
                  <c:v>Littoral/Ocean Entry Hazards (Laze)</c:v>
                </c:pt>
              </c:strCache>
            </c:strRef>
          </c:cat>
          <c:val>
            <c:numRef>
              <c:f>'Calculator Page'!$B$19:$B$24</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C-5FDA-49C5-A9C3-C90CF82DF230}"/>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000000"/>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352425</xdr:colOff>
      <xdr:row>1</xdr:row>
      <xdr:rowOff>123825</xdr:rowOff>
    </xdr:from>
    <xdr:ext cx="5715000" cy="3533775"/>
    <xdr:graphicFrame macro="">
      <xdr:nvGraphicFramePr>
        <xdr:cNvPr id="2" name="Chart 1" titl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65E3E-BD70-43E7-BFF0-828D1B69552F}">
  <dimension ref="A1:C36"/>
  <sheetViews>
    <sheetView zoomScale="101" workbookViewId="0">
      <selection activeCell="E3" sqref="E3"/>
    </sheetView>
  </sheetViews>
  <sheetFormatPr defaultRowHeight="14" x14ac:dyDescent="0.3"/>
  <cols>
    <col min="1" max="1" width="18.1796875" style="69" customWidth="1"/>
    <col min="2" max="2" width="46.26953125" style="69" customWidth="1"/>
    <col min="3" max="4" width="8.7265625" style="69"/>
    <col min="5" max="5" width="43.1796875" style="69" customWidth="1"/>
    <col min="6" max="7" width="8.7265625" style="69"/>
    <col min="8" max="8" width="8.7265625" style="69" customWidth="1"/>
    <col min="9" max="16384" width="8.7265625" style="69"/>
  </cols>
  <sheetData>
    <row r="1" spans="1:3" ht="23.5" x14ac:dyDescent="0.55000000000000004">
      <c r="A1" s="94" t="s">
        <v>79</v>
      </c>
      <c r="B1" s="95"/>
      <c r="C1" s="96"/>
    </row>
    <row r="2" spans="1:3" ht="75" customHeight="1" x14ac:dyDescent="0.3">
      <c r="A2" s="79" t="s">
        <v>80</v>
      </c>
      <c r="B2" s="97" t="s">
        <v>100</v>
      </c>
      <c r="C2" s="98"/>
    </row>
    <row r="3" spans="1:3" ht="158.5" customHeight="1" x14ac:dyDescent="0.3">
      <c r="A3" s="79" t="s">
        <v>81</v>
      </c>
      <c r="B3" s="99" t="s">
        <v>102</v>
      </c>
      <c r="C3" s="100"/>
    </row>
    <row r="4" spans="1:3" ht="63.75" customHeight="1" x14ac:dyDescent="0.3">
      <c r="A4" s="79" t="s">
        <v>82</v>
      </c>
      <c r="B4" s="99" t="s">
        <v>103</v>
      </c>
      <c r="C4" s="100"/>
    </row>
    <row r="5" spans="1:3" ht="14.5" x14ac:dyDescent="0.35">
      <c r="A5" s="80" t="s">
        <v>83</v>
      </c>
      <c r="B5" s="101">
        <v>45943</v>
      </c>
      <c r="C5" s="102"/>
    </row>
    <row r="6" spans="1:3" x14ac:dyDescent="0.3">
      <c r="A6" s="70"/>
      <c r="B6" s="71"/>
      <c r="C6" s="71"/>
    </row>
    <row r="7" spans="1:3" ht="30" customHeight="1" x14ac:dyDescent="0.55000000000000004">
      <c r="A7" s="92" t="s">
        <v>84</v>
      </c>
      <c r="B7" s="93"/>
      <c r="C7" s="71"/>
    </row>
    <row r="8" spans="1:3" ht="14.5" x14ac:dyDescent="0.35">
      <c r="A8" s="81" t="s">
        <v>85</v>
      </c>
      <c r="B8" s="82" t="s">
        <v>86</v>
      </c>
      <c r="C8" s="71"/>
    </row>
    <row r="9" spans="1:3" ht="14.5" x14ac:dyDescent="0.35">
      <c r="A9" s="81" t="s">
        <v>87</v>
      </c>
      <c r="B9" s="83" t="s">
        <v>88</v>
      </c>
      <c r="C9" s="71"/>
    </row>
    <row r="10" spans="1:3" ht="14.5" x14ac:dyDescent="0.35">
      <c r="A10" s="81" t="s">
        <v>89</v>
      </c>
      <c r="B10" s="83" t="s">
        <v>90</v>
      </c>
      <c r="C10" s="71"/>
    </row>
    <row r="11" spans="1:3" ht="14.5" x14ac:dyDescent="0.35">
      <c r="A11" s="84" t="s">
        <v>91</v>
      </c>
      <c r="B11" s="83" t="s">
        <v>92</v>
      </c>
      <c r="C11" s="71"/>
    </row>
    <row r="12" spans="1:3" ht="16.5" customHeight="1" x14ac:dyDescent="0.3"/>
    <row r="13" spans="1:3" ht="23" x14ac:dyDescent="0.5">
      <c r="A13" s="72" t="s">
        <v>95</v>
      </c>
    </row>
    <row r="15" spans="1:3" ht="14.5" thickBot="1" x14ac:dyDescent="0.35">
      <c r="A15" s="73" t="s">
        <v>93</v>
      </c>
      <c r="B15" s="73" t="s">
        <v>94</v>
      </c>
    </row>
    <row r="16" spans="1:3" ht="28.5" thickTop="1" x14ac:dyDescent="0.3">
      <c r="A16" s="74" t="s">
        <v>16</v>
      </c>
      <c r="B16" s="75" t="s">
        <v>98</v>
      </c>
    </row>
    <row r="17" spans="1:2" ht="28" x14ac:dyDescent="0.3">
      <c r="A17" s="76" t="s">
        <v>17</v>
      </c>
      <c r="B17" s="75" t="s">
        <v>96</v>
      </c>
    </row>
    <row r="18" spans="1:2" ht="20" customHeight="1" x14ac:dyDescent="0.3">
      <c r="A18" s="76" t="s">
        <v>18</v>
      </c>
      <c r="B18" s="75" t="s">
        <v>99</v>
      </c>
    </row>
    <row r="19" spans="1:2" ht="28" x14ac:dyDescent="0.3">
      <c r="A19" s="77" t="s">
        <v>19</v>
      </c>
      <c r="B19" s="78" t="s">
        <v>97</v>
      </c>
    </row>
    <row r="20" spans="1:2" ht="30.4" customHeight="1" x14ac:dyDescent="0.3"/>
    <row r="22" spans="1:2" ht="45.4" customHeight="1" x14ac:dyDescent="0.3"/>
    <row r="24" spans="1:2" ht="27.65" customHeight="1" x14ac:dyDescent="0.3"/>
    <row r="28" spans="1:2" ht="41.5" customHeight="1" x14ac:dyDescent="0.3"/>
    <row r="36" ht="64.150000000000006" customHeight="1" x14ac:dyDescent="0.3"/>
  </sheetData>
  <mergeCells count="6">
    <mergeCell ref="A7:B7"/>
    <mergeCell ref="A1:C1"/>
    <mergeCell ref="B2:C2"/>
    <mergeCell ref="B3:C3"/>
    <mergeCell ref="B4:C4"/>
    <mergeCell ref="B5:C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F28"/>
  <sheetViews>
    <sheetView tabSelected="1" zoomScale="94" workbookViewId="0">
      <selection activeCell="E12" sqref="E12"/>
    </sheetView>
  </sheetViews>
  <sheetFormatPr defaultColWidth="12.6328125" defaultRowHeight="15.75" customHeight="1" x14ac:dyDescent="0.25"/>
  <cols>
    <col min="2" max="2" width="28.453125" customWidth="1"/>
    <col min="5" max="7" width="12.6328125" customWidth="1"/>
  </cols>
  <sheetData>
    <row r="2" spans="1:6" ht="39" x14ac:dyDescent="0.3">
      <c r="A2" s="67"/>
      <c r="B2" s="68"/>
      <c r="C2" s="65" t="s">
        <v>0</v>
      </c>
      <c r="D2" s="66" t="s">
        <v>1</v>
      </c>
      <c r="F2" s="1" t="s">
        <v>2</v>
      </c>
    </row>
    <row r="3" spans="1:6" ht="43.5" customHeight="1" x14ac:dyDescent="0.25">
      <c r="A3" s="64" t="s">
        <v>3</v>
      </c>
      <c r="B3" s="2" t="s">
        <v>4</v>
      </c>
      <c r="C3" s="3">
        <f>'Recurrence Interval'!C11</f>
        <v>0</v>
      </c>
      <c r="D3" s="4">
        <f t="shared" ref="D3:D8" si="0">IF(ISBLANK(F3),A19,F3)</f>
        <v>10</v>
      </c>
      <c r="F3" s="5"/>
    </row>
    <row r="4" spans="1:6" ht="12.5" x14ac:dyDescent="0.25">
      <c r="A4" s="103" t="s">
        <v>5</v>
      </c>
      <c r="B4" s="6" t="s">
        <v>6</v>
      </c>
      <c r="C4" s="7">
        <f>Lahars!C10</f>
        <v>0</v>
      </c>
      <c r="D4" s="8">
        <f t="shared" si="0"/>
        <v>21.703261835258282</v>
      </c>
      <c r="F4" s="5"/>
    </row>
    <row r="5" spans="1:6" ht="12.5" x14ac:dyDescent="0.25">
      <c r="A5" s="104"/>
      <c r="B5" s="9" t="s">
        <v>7</v>
      </c>
      <c r="C5" s="10">
        <f>PDCs!D11</f>
        <v>0</v>
      </c>
      <c r="D5" s="8">
        <f t="shared" si="0"/>
        <v>52.544739180099</v>
      </c>
      <c r="F5" s="5"/>
    </row>
    <row r="6" spans="1:6" ht="12.5" x14ac:dyDescent="0.25">
      <c r="A6" s="104"/>
      <c r="B6" s="9" t="s">
        <v>8</v>
      </c>
      <c r="C6" s="10">
        <f>Tephra!D21</f>
        <v>0</v>
      </c>
      <c r="D6" s="8">
        <f t="shared" si="0"/>
        <v>7.9959385708846291</v>
      </c>
      <c r="F6" s="5"/>
    </row>
    <row r="7" spans="1:6" ht="12.5" x14ac:dyDescent="0.25">
      <c r="A7" s="104"/>
      <c r="B7" s="9" t="s">
        <v>9</v>
      </c>
      <c r="C7" s="10">
        <f>'Volcanic Tsunami'!C8</f>
        <v>0</v>
      </c>
      <c r="D7" s="8">
        <f t="shared" si="0"/>
        <v>6.8536616321868253</v>
      </c>
      <c r="F7" s="5"/>
    </row>
    <row r="8" spans="1:6" ht="12.5" x14ac:dyDescent="0.25">
      <c r="A8" s="105"/>
      <c r="B8" s="2" t="s">
        <v>10</v>
      </c>
      <c r="C8" s="3">
        <f>'Littoral Hazards'!C8</f>
        <v>0</v>
      </c>
      <c r="D8" s="4">
        <f t="shared" si="0"/>
        <v>0.90239878157126541</v>
      </c>
      <c r="F8" s="5"/>
    </row>
    <row r="11" spans="1:6" ht="13" x14ac:dyDescent="0.3">
      <c r="B11" s="11" t="s">
        <v>11</v>
      </c>
      <c r="C11" s="12">
        <f>(SUM(,C3*D3,C4*D4,C5*D5,C6*D6,C7*D7,C8*D8))/100</f>
        <v>0</v>
      </c>
    </row>
    <row r="12" spans="1:6" ht="13" x14ac:dyDescent="0.3">
      <c r="B12" s="11" t="s">
        <v>12</v>
      </c>
      <c r="C12" s="11">
        <v>20</v>
      </c>
    </row>
    <row r="14" spans="1:6" ht="15.5" x14ac:dyDescent="0.35">
      <c r="A14" s="13" t="s">
        <v>13</v>
      </c>
      <c r="B14" s="14"/>
      <c r="C14" s="14"/>
      <c r="D14" s="14"/>
      <c r="E14" s="14"/>
      <c r="F14" s="14"/>
    </row>
    <row r="15" spans="1:6" ht="15.5" x14ac:dyDescent="0.35">
      <c r="A15" s="106" t="s">
        <v>14</v>
      </c>
      <c r="B15" s="107"/>
      <c r="C15" s="107"/>
      <c r="D15" s="107"/>
      <c r="E15" s="107"/>
      <c r="F15" s="107"/>
    </row>
    <row r="18" spans="1:3" ht="26" x14ac:dyDescent="0.3">
      <c r="A18" s="15" t="s">
        <v>15</v>
      </c>
    </row>
    <row r="19" spans="1:3" ht="12.5" x14ac:dyDescent="0.25">
      <c r="A19" s="16">
        <v>10</v>
      </c>
      <c r="B19" s="17">
        <f t="shared" ref="B19:B24" si="1">(C3*D3)/100</f>
        <v>0</v>
      </c>
    </row>
    <row r="20" spans="1:3" ht="12.5" x14ac:dyDescent="0.25">
      <c r="A20" s="18">
        <v>21.703261835258282</v>
      </c>
      <c r="B20" s="17">
        <f t="shared" si="1"/>
        <v>0</v>
      </c>
    </row>
    <row r="21" spans="1:3" ht="12.5" x14ac:dyDescent="0.25">
      <c r="A21" s="19">
        <v>52.544739180099</v>
      </c>
      <c r="B21" s="17">
        <f t="shared" si="1"/>
        <v>0</v>
      </c>
    </row>
    <row r="22" spans="1:3" ht="12.5" x14ac:dyDescent="0.25">
      <c r="A22" s="19">
        <v>7.9959385708846291</v>
      </c>
      <c r="B22" s="17">
        <f t="shared" si="1"/>
        <v>0</v>
      </c>
    </row>
    <row r="23" spans="1:3" ht="12.5" x14ac:dyDescent="0.25">
      <c r="A23" s="19">
        <v>6.8536616321868253</v>
      </c>
      <c r="B23" s="17">
        <f t="shared" si="1"/>
        <v>0</v>
      </c>
    </row>
    <row r="24" spans="1:3" ht="12.5" x14ac:dyDescent="0.25">
      <c r="A24" s="16">
        <v>0.90239878157126541</v>
      </c>
      <c r="B24" s="17">
        <f t="shared" si="1"/>
        <v>0</v>
      </c>
      <c r="C24" s="20"/>
    </row>
    <row r="25" spans="1:3" ht="12.5" x14ac:dyDescent="0.25">
      <c r="C25" s="20"/>
    </row>
    <row r="26" spans="1:3" ht="12.5" x14ac:dyDescent="0.25">
      <c r="C26" s="20"/>
    </row>
    <row r="27" spans="1:3" ht="12.5" x14ac:dyDescent="0.25">
      <c r="C27" s="20"/>
    </row>
    <row r="28" spans="1:3" ht="12.5" x14ac:dyDescent="0.25">
      <c r="C28" s="20"/>
    </row>
  </sheetData>
  <mergeCells count="2">
    <mergeCell ref="A4:A8"/>
    <mergeCell ref="A15:F15"/>
  </mergeCells>
  <hyperlinks>
    <hyperlink ref="B3" location="'Recurrence Interval'!A1" display="Recurrence Interval" xr:uid="{00000000-0004-0000-0000-000000000000}"/>
    <hyperlink ref="B4" location="Lahars!A1" display="Lahars" xr:uid="{00000000-0004-0000-0000-000001000000}"/>
    <hyperlink ref="B5" location="PDCs!A1" display="PDCs" xr:uid="{00000000-0004-0000-0000-000002000000}"/>
    <hyperlink ref="B6" location="Tephra!A1" display="Tephra" xr:uid="{00000000-0004-0000-0000-000003000000}"/>
    <hyperlink ref="B7" location="'Volcanic Tsunami'!A1" display="Volcanic Tsunami" xr:uid="{00000000-0004-0000-0000-000004000000}"/>
    <hyperlink ref="B8" location="'Littoral Hazards'!A1" display="Littoral/Ocean Entry Hazards (Laze)" xr:uid="{00000000-0004-0000-0000-000005000000}"/>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1"/>
  <sheetViews>
    <sheetView workbookViewId="0">
      <pane ySplit="2" topLeftCell="A3" activePane="bottomLeft" state="frozen"/>
      <selection pane="bottomLeft" activeCell="E9" sqref="E9"/>
    </sheetView>
  </sheetViews>
  <sheetFormatPr defaultColWidth="12.6328125" defaultRowHeight="15.75" customHeight="1" x14ac:dyDescent="0.25"/>
  <cols>
    <col min="1" max="1" width="26.7265625" customWidth="1"/>
    <col min="2" max="2" width="19.26953125" customWidth="1"/>
    <col min="4" max="4" width="37.6328125" customWidth="1"/>
  </cols>
  <sheetData>
    <row r="1" spans="1:4" ht="15.75" customHeight="1" x14ac:dyDescent="0.3">
      <c r="A1" s="86" t="s">
        <v>4</v>
      </c>
    </row>
    <row r="2" spans="1:4" ht="15.75" customHeight="1" x14ac:dyDescent="0.25">
      <c r="A2" s="21" t="s">
        <v>16</v>
      </c>
      <c r="B2" s="22" t="s">
        <v>17</v>
      </c>
      <c r="C2" s="22" t="s">
        <v>18</v>
      </c>
      <c r="D2" s="23" t="s">
        <v>19</v>
      </c>
    </row>
    <row r="3" spans="1:4" ht="12.5" x14ac:dyDescent="0.25">
      <c r="A3" s="24" t="s">
        <v>20</v>
      </c>
      <c r="B3" s="59" t="b">
        <v>0</v>
      </c>
      <c r="C3" s="25">
        <v>20</v>
      </c>
      <c r="D3" s="24" t="s">
        <v>104</v>
      </c>
    </row>
    <row r="4" spans="1:4" ht="25" x14ac:dyDescent="0.25">
      <c r="A4" s="24" t="s">
        <v>21</v>
      </c>
      <c r="B4" s="59" t="b">
        <v>0</v>
      </c>
      <c r="C4" s="25">
        <v>16</v>
      </c>
      <c r="D4" s="24" t="s">
        <v>104</v>
      </c>
    </row>
    <row r="5" spans="1:4" ht="25" x14ac:dyDescent="0.25">
      <c r="A5" s="24" t="s">
        <v>22</v>
      </c>
      <c r="B5" s="59" t="b">
        <v>0</v>
      </c>
      <c r="C5" s="25">
        <v>12</v>
      </c>
      <c r="D5" s="24" t="s">
        <v>104</v>
      </c>
    </row>
    <row r="6" spans="1:4" ht="25" x14ac:dyDescent="0.25">
      <c r="A6" s="24" t="s">
        <v>23</v>
      </c>
      <c r="B6" s="59" t="b">
        <v>0</v>
      </c>
      <c r="C6" s="25">
        <v>8</v>
      </c>
      <c r="D6" s="24" t="s">
        <v>104</v>
      </c>
    </row>
    <row r="7" spans="1:4" ht="25" x14ac:dyDescent="0.25">
      <c r="A7" s="24" t="s">
        <v>24</v>
      </c>
      <c r="B7" s="59" t="b">
        <v>0</v>
      </c>
      <c r="C7" s="25">
        <v>4</v>
      </c>
      <c r="D7" s="24" t="s">
        <v>104</v>
      </c>
    </row>
    <row r="8" spans="1:4" ht="25" x14ac:dyDescent="0.25">
      <c r="A8" s="24" t="s">
        <v>25</v>
      </c>
      <c r="B8" s="59" t="b">
        <v>0</v>
      </c>
      <c r="C8" s="20">
        <v>0</v>
      </c>
      <c r="D8" s="24" t="s">
        <v>104</v>
      </c>
    </row>
    <row r="9" spans="1:4" ht="75" x14ac:dyDescent="0.25">
      <c r="A9" s="24" t="s">
        <v>26</v>
      </c>
      <c r="B9" s="59" t="b">
        <v>0</v>
      </c>
      <c r="C9" s="20">
        <v>4</v>
      </c>
      <c r="D9" s="24" t="s">
        <v>105</v>
      </c>
    </row>
    <row r="10" spans="1:4" ht="15.75" customHeight="1" x14ac:dyDescent="0.25">
      <c r="A10" s="20"/>
    </row>
    <row r="11" spans="1:4" ht="13" x14ac:dyDescent="0.3">
      <c r="B11" s="26" t="s">
        <v>27</v>
      </c>
      <c r="C11" s="27">
        <f>SUMIF(B3:B9, TRUE, C3:C9)</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0"/>
  <sheetViews>
    <sheetView workbookViewId="0">
      <pane ySplit="2" topLeftCell="A3" activePane="bottomLeft" state="frozen"/>
      <selection pane="bottomLeft" activeCell="B4" sqref="B4"/>
    </sheetView>
  </sheetViews>
  <sheetFormatPr defaultColWidth="12.6328125" defaultRowHeight="15.75" customHeight="1" x14ac:dyDescent="0.25"/>
  <cols>
    <col min="1" max="1" width="26.7265625" customWidth="1"/>
    <col min="2" max="2" width="19.26953125" customWidth="1"/>
    <col min="4" max="4" width="37.6328125" customWidth="1"/>
  </cols>
  <sheetData>
    <row r="1" spans="1:4" ht="13" x14ac:dyDescent="0.3">
      <c r="A1" s="108" t="s">
        <v>6</v>
      </c>
      <c r="B1" s="107"/>
      <c r="C1" s="107"/>
      <c r="D1" s="107"/>
    </row>
    <row r="2" spans="1:4" ht="15.75" customHeight="1" x14ac:dyDescent="0.25">
      <c r="A2" s="21" t="s">
        <v>16</v>
      </c>
      <c r="B2" s="22" t="s">
        <v>17</v>
      </c>
      <c r="C2" s="22" t="s">
        <v>18</v>
      </c>
      <c r="D2" s="23" t="s">
        <v>19</v>
      </c>
    </row>
    <row r="3" spans="1:4" ht="50" x14ac:dyDescent="0.25">
      <c r="A3" s="29" t="s">
        <v>28</v>
      </c>
      <c r="B3" s="60" t="b">
        <v>0</v>
      </c>
      <c r="C3" s="30">
        <v>7</v>
      </c>
      <c r="D3" s="31" t="s">
        <v>107</v>
      </c>
    </row>
    <row r="4" spans="1:4" ht="62.5" x14ac:dyDescent="0.25">
      <c r="A4" s="32" t="s">
        <v>135</v>
      </c>
      <c r="B4" s="59" t="b">
        <v>0</v>
      </c>
      <c r="C4" s="25">
        <v>5</v>
      </c>
      <c r="D4" s="33" t="s">
        <v>106</v>
      </c>
    </row>
    <row r="5" spans="1:4" ht="39" customHeight="1" x14ac:dyDescent="0.25">
      <c r="A5" s="34" t="s">
        <v>29</v>
      </c>
      <c r="B5" s="59" t="b">
        <v>0</v>
      </c>
      <c r="C5" s="25">
        <v>3</v>
      </c>
      <c r="D5" s="33" t="s">
        <v>30</v>
      </c>
    </row>
    <row r="6" spans="1:4" ht="52" x14ac:dyDescent="0.3">
      <c r="A6" s="35" t="s">
        <v>31</v>
      </c>
      <c r="B6" s="59" t="b">
        <v>0</v>
      </c>
      <c r="C6" s="25">
        <v>2</v>
      </c>
      <c r="D6" s="33" t="s">
        <v>32</v>
      </c>
    </row>
    <row r="7" spans="1:4" ht="25" x14ac:dyDescent="0.25">
      <c r="A7" s="32" t="s">
        <v>33</v>
      </c>
      <c r="B7" s="59" t="b">
        <v>0</v>
      </c>
      <c r="C7" s="25">
        <v>2</v>
      </c>
      <c r="D7" s="109" t="s">
        <v>34</v>
      </c>
    </row>
    <row r="8" spans="1:4" ht="25" x14ac:dyDescent="0.25">
      <c r="A8" s="32" t="s">
        <v>35</v>
      </c>
      <c r="B8" s="59" t="b">
        <v>0</v>
      </c>
      <c r="C8" s="25">
        <v>3</v>
      </c>
      <c r="D8" s="110"/>
    </row>
    <row r="10" spans="1:4" ht="13" x14ac:dyDescent="0.3">
      <c r="B10" s="26" t="s">
        <v>27</v>
      </c>
      <c r="C10" s="27">
        <f>SUMIF(B3:B8, TRUE, C3:C8)</f>
        <v>0</v>
      </c>
    </row>
  </sheetData>
  <sheetProtection selectLockedCells="1" selectUnlockedCells="1"/>
  <mergeCells count="2">
    <mergeCell ref="A1:D1"/>
    <mergeCell ref="D7:D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E11"/>
  <sheetViews>
    <sheetView workbookViewId="0">
      <pane ySplit="2" topLeftCell="A3" activePane="bottomLeft" state="frozen"/>
      <selection pane="bottomLeft" activeCell="E6" sqref="E6"/>
    </sheetView>
  </sheetViews>
  <sheetFormatPr defaultColWidth="12.6328125" defaultRowHeight="15.75" customHeight="1" x14ac:dyDescent="0.25"/>
  <cols>
    <col min="1" max="1" width="26.7265625" customWidth="1"/>
    <col min="2" max="2" width="14.26953125" customWidth="1"/>
    <col min="3" max="3" width="19.26953125" customWidth="1"/>
    <col min="5" max="5" width="37.6328125" customWidth="1"/>
  </cols>
  <sheetData>
    <row r="1" spans="1:5" ht="13" x14ac:dyDescent="0.3">
      <c r="A1" s="108" t="s">
        <v>36</v>
      </c>
      <c r="B1" s="107"/>
      <c r="C1" s="107"/>
      <c r="D1" s="107"/>
      <c r="E1" s="107"/>
    </row>
    <row r="2" spans="1:5" ht="15.75" customHeight="1" x14ac:dyDescent="0.25">
      <c r="A2" s="117" t="s">
        <v>16</v>
      </c>
      <c r="B2" s="118"/>
      <c r="C2" s="22" t="s">
        <v>17</v>
      </c>
      <c r="D2" s="22" t="s">
        <v>18</v>
      </c>
      <c r="E2" s="23" t="s">
        <v>19</v>
      </c>
    </row>
    <row r="3" spans="1:5" ht="25" x14ac:dyDescent="0.25">
      <c r="A3" s="119" t="s">
        <v>37</v>
      </c>
      <c r="B3" s="118"/>
      <c r="C3" s="60" t="b">
        <v>0</v>
      </c>
      <c r="D3" s="30">
        <v>8</v>
      </c>
      <c r="E3" s="31" t="s">
        <v>107</v>
      </c>
    </row>
    <row r="4" spans="1:5" ht="38" x14ac:dyDescent="0.3">
      <c r="A4" s="111" t="s">
        <v>38</v>
      </c>
      <c r="B4" s="107"/>
      <c r="C4" s="59" t="b">
        <v>0</v>
      </c>
      <c r="D4" s="25">
        <v>4</v>
      </c>
      <c r="E4" s="33" t="s">
        <v>108</v>
      </c>
    </row>
    <row r="5" spans="1:5" ht="33.5" customHeight="1" x14ac:dyDescent="0.3">
      <c r="A5" s="120" t="s">
        <v>39</v>
      </c>
      <c r="B5" s="107"/>
      <c r="C5" s="59" t="b">
        <v>0</v>
      </c>
      <c r="D5" s="25">
        <v>2</v>
      </c>
      <c r="E5" s="33" t="s">
        <v>40</v>
      </c>
    </row>
    <row r="6" spans="1:5" ht="27.5" customHeight="1" x14ac:dyDescent="0.3">
      <c r="A6" s="111" t="s">
        <v>31</v>
      </c>
      <c r="B6" s="107"/>
      <c r="C6" s="59" t="b">
        <v>0</v>
      </c>
      <c r="D6" s="25">
        <v>2</v>
      </c>
      <c r="E6" s="36" t="s">
        <v>41</v>
      </c>
    </row>
    <row r="7" spans="1:5" ht="13" x14ac:dyDescent="0.3">
      <c r="A7" s="112" t="s">
        <v>42</v>
      </c>
      <c r="B7" s="37" t="s">
        <v>43</v>
      </c>
      <c r="C7" s="59" t="b">
        <v>0</v>
      </c>
      <c r="D7" s="20">
        <v>2</v>
      </c>
      <c r="E7" s="115" t="s">
        <v>44</v>
      </c>
    </row>
    <row r="8" spans="1:5" ht="13" x14ac:dyDescent="0.3">
      <c r="A8" s="113"/>
      <c r="B8" s="37" t="s">
        <v>45</v>
      </c>
      <c r="C8" s="59" t="b">
        <v>0</v>
      </c>
      <c r="D8" s="20">
        <v>1</v>
      </c>
      <c r="E8" s="110"/>
    </row>
    <row r="9" spans="1:5" ht="13" x14ac:dyDescent="0.3">
      <c r="A9" s="114"/>
      <c r="B9" s="38" t="s">
        <v>46</v>
      </c>
      <c r="C9" s="61" t="b">
        <v>0</v>
      </c>
      <c r="D9" s="39">
        <v>0</v>
      </c>
      <c r="E9" s="116"/>
    </row>
    <row r="11" spans="1:5" ht="13" x14ac:dyDescent="0.3">
      <c r="B11" s="28"/>
      <c r="C11" s="26" t="s">
        <v>27</v>
      </c>
      <c r="D11" s="27">
        <f>SUMIF(C3:C9, TRUE, D3:D9)</f>
        <v>0</v>
      </c>
    </row>
  </sheetData>
  <mergeCells count="8">
    <mergeCell ref="A6:B6"/>
    <mergeCell ref="A7:A9"/>
    <mergeCell ref="E7:E9"/>
    <mergeCell ref="A1:E1"/>
    <mergeCell ref="A2:B2"/>
    <mergeCell ref="A3:B3"/>
    <mergeCell ref="A4:B4"/>
    <mergeCell ref="A5:B5"/>
  </mergeCells>
  <printOptions horizontalCentered="1" gridLines="1"/>
  <pageMargins left="0.7" right="0.7" top="0.75" bottom="0.75" header="0" footer="0"/>
  <pageSetup paperSize="9" fitToHeight="0" pageOrder="overThenDown" orientation="landscape"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21"/>
  <sheetViews>
    <sheetView workbookViewId="0">
      <pane ySplit="2" topLeftCell="A3" activePane="bottomLeft" state="frozen"/>
      <selection pane="bottomLeft" activeCell="B5" sqref="B5"/>
    </sheetView>
  </sheetViews>
  <sheetFormatPr defaultColWidth="12.6328125" defaultRowHeight="15.75" customHeight="1" x14ac:dyDescent="0.25"/>
  <cols>
    <col min="1" max="1" width="3.36328125" customWidth="1"/>
    <col min="2" max="2" width="26.7265625" customWidth="1"/>
    <col min="3" max="3" width="19.26953125" customWidth="1"/>
    <col min="5" max="5" width="37.6328125" customWidth="1"/>
  </cols>
  <sheetData>
    <row r="1" spans="1:5" ht="13" x14ac:dyDescent="0.3">
      <c r="A1" s="28"/>
      <c r="B1" s="108" t="s">
        <v>8</v>
      </c>
      <c r="C1" s="107"/>
      <c r="D1" s="107"/>
      <c r="E1" s="107"/>
    </row>
    <row r="2" spans="1:5" ht="15.75" customHeight="1" x14ac:dyDescent="0.25">
      <c r="A2" s="40"/>
      <c r="B2" s="21" t="s">
        <v>16</v>
      </c>
      <c r="C2" s="22" t="s">
        <v>17</v>
      </c>
      <c r="D2" s="22" t="s">
        <v>18</v>
      </c>
      <c r="E2" s="23" t="s">
        <v>19</v>
      </c>
    </row>
    <row r="3" spans="1:5" ht="26" x14ac:dyDescent="0.3">
      <c r="A3" s="37"/>
      <c r="B3" s="85" t="s">
        <v>47</v>
      </c>
      <c r="C3" s="60" t="b">
        <v>0</v>
      </c>
      <c r="D3" s="30">
        <v>1</v>
      </c>
      <c r="E3" s="31" t="s">
        <v>48</v>
      </c>
    </row>
    <row r="4" spans="1:5" ht="26" x14ac:dyDescent="0.3">
      <c r="B4" s="35" t="s">
        <v>49</v>
      </c>
      <c r="C4" s="59" t="b">
        <v>0</v>
      </c>
      <c r="D4" s="20">
        <v>2</v>
      </c>
      <c r="E4" s="33" t="s">
        <v>50</v>
      </c>
    </row>
    <row r="5" spans="1:5" ht="62.5" x14ac:dyDescent="0.25">
      <c r="B5" s="32" t="s">
        <v>135</v>
      </c>
      <c r="C5" s="59" t="b">
        <v>0</v>
      </c>
      <c r="D5" s="20">
        <v>3</v>
      </c>
      <c r="E5" s="33" t="s">
        <v>51</v>
      </c>
    </row>
    <row r="6" spans="1:5" ht="50" x14ac:dyDescent="0.25">
      <c r="B6" s="41" t="s">
        <v>52</v>
      </c>
      <c r="C6" s="61" t="b">
        <v>0</v>
      </c>
      <c r="D6" s="39">
        <v>4</v>
      </c>
      <c r="E6" s="42" t="s">
        <v>53</v>
      </c>
    </row>
    <row r="8" spans="1:5" ht="15.75" customHeight="1" x14ac:dyDescent="0.25">
      <c r="A8" s="20"/>
      <c r="B8" s="43" t="s">
        <v>16</v>
      </c>
      <c r="C8" s="44" t="s">
        <v>17</v>
      </c>
      <c r="D8" s="44" t="s">
        <v>18</v>
      </c>
      <c r="E8" s="45" t="s">
        <v>19</v>
      </c>
    </row>
    <row r="9" spans="1:5" ht="37.5" x14ac:dyDescent="0.25">
      <c r="A9" s="121" t="s">
        <v>54</v>
      </c>
      <c r="B9" s="32" t="s">
        <v>55</v>
      </c>
      <c r="C9" s="59" t="b">
        <v>0</v>
      </c>
      <c r="D9" s="25">
        <v>2</v>
      </c>
      <c r="E9" s="33" t="s">
        <v>109</v>
      </c>
    </row>
    <row r="10" spans="1:5" ht="50" x14ac:dyDescent="0.25">
      <c r="A10" s="107"/>
      <c r="B10" s="41" t="s">
        <v>56</v>
      </c>
      <c r="C10" s="61" t="b">
        <v>0</v>
      </c>
      <c r="D10" s="46">
        <v>8</v>
      </c>
      <c r="E10" s="42" t="s">
        <v>110</v>
      </c>
    </row>
    <row r="11" spans="1:5" ht="15.75" customHeight="1" x14ac:dyDescent="0.25">
      <c r="D11" s="25"/>
    </row>
    <row r="12" spans="1:5" ht="15.75" customHeight="1" x14ac:dyDescent="0.25">
      <c r="A12" s="20"/>
      <c r="B12" s="43" t="s">
        <v>16</v>
      </c>
      <c r="C12" s="44" t="s">
        <v>17</v>
      </c>
      <c r="D12" s="47" t="s">
        <v>18</v>
      </c>
      <c r="E12" s="45" t="s">
        <v>19</v>
      </c>
    </row>
    <row r="13" spans="1:5" ht="25" x14ac:dyDescent="0.25">
      <c r="A13" s="121" t="s">
        <v>57</v>
      </c>
      <c r="B13" s="32" t="s">
        <v>58</v>
      </c>
      <c r="C13" s="59" t="b">
        <v>0</v>
      </c>
      <c r="D13" s="25">
        <v>3</v>
      </c>
      <c r="E13" s="36" t="s">
        <v>111</v>
      </c>
    </row>
    <row r="14" spans="1:5" ht="62.5" x14ac:dyDescent="0.25">
      <c r="A14" s="107"/>
      <c r="B14" s="32" t="s">
        <v>59</v>
      </c>
      <c r="C14" s="59" t="b">
        <v>0</v>
      </c>
      <c r="D14" s="25">
        <v>6</v>
      </c>
      <c r="E14" s="36" t="s">
        <v>111</v>
      </c>
    </row>
    <row r="15" spans="1:5" ht="39" x14ac:dyDescent="0.3">
      <c r="A15" s="107"/>
      <c r="B15" s="48" t="s">
        <v>60</v>
      </c>
      <c r="C15" s="59" t="b">
        <v>0</v>
      </c>
      <c r="D15" s="25">
        <v>9</v>
      </c>
      <c r="E15" s="36" t="s">
        <v>111</v>
      </c>
    </row>
    <row r="16" spans="1:5" ht="26" x14ac:dyDescent="0.3">
      <c r="A16" s="107"/>
      <c r="B16" s="48" t="s">
        <v>61</v>
      </c>
      <c r="C16" s="59" t="b">
        <v>0</v>
      </c>
      <c r="D16" s="25">
        <v>12</v>
      </c>
      <c r="E16" s="33" t="s">
        <v>112</v>
      </c>
    </row>
    <row r="17" spans="1:5" ht="26" x14ac:dyDescent="0.3">
      <c r="A17" s="107"/>
      <c r="B17" s="48" t="s">
        <v>62</v>
      </c>
      <c r="C17" s="59" t="b">
        <v>0</v>
      </c>
      <c r="D17" s="25">
        <v>0</v>
      </c>
      <c r="E17" s="36" t="s">
        <v>111</v>
      </c>
    </row>
    <row r="18" spans="1:5" ht="26" x14ac:dyDescent="0.3">
      <c r="A18" s="107"/>
      <c r="B18" s="49" t="s">
        <v>63</v>
      </c>
      <c r="C18" s="61" t="b">
        <v>0</v>
      </c>
      <c r="D18" s="46">
        <v>1</v>
      </c>
      <c r="E18" s="36" t="s">
        <v>111</v>
      </c>
    </row>
    <row r="20" spans="1:5" ht="13" x14ac:dyDescent="0.3">
      <c r="C20" s="26" t="s">
        <v>27</v>
      </c>
      <c r="D20" s="27">
        <f>SUMIF(C3:C18, TRUE, D3:D18)</f>
        <v>0</v>
      </c>
    </row>
    <row r="21" spans="1:5" ht="13" x14ac:dyDescent="0.3">
      <c r="C21" s="26" t="s">
        <v>64</v>
      </c>
      <c r="D21" s="27">
        <f>D20/2</f>
        <v>0</v>
      </c>
    </row>
  </sheetData>
  <mergeCells count="3">
    <mergeCell ref="B1:E1"/>
    <mergeCell ref="A9:A10"/>
    <mergeCell ref="A13:A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8"/>
  <sheetViews>
    <sheetView workbookViewId="0">
      <pane ySplit="2" topLeftCell="A3" activePane="bottomLeft" state="frozen"/>
      <selection pane="bottomLeft" activeCell="E4" sqref="E4"/>
    </sheetView>
  </sheetViews>
  <sheetFormatPr defaultColWidth="12.6328125" defaultRowHeight="15.75" customHeight="1" x14ac:dyDescent="0.25"/>
  <cols>
    <col min="1" max="1" width="26.7265625" customWidth="1"/>
    <col min="2" max="2" width="19.26953125" customWidth="1"/>
    <col min="4" max="4" width="37.6328125" customWidth="1"/>
  </cols>
  <sheetData>
    <row r="1" spans="1:4" ht="13" x14ac:dyDescent="0.3">
      <c r="A1" s="108" t="s">
        <v>9</v>
      </c>
      <c r="B1" s="107"/>
      <c r="C1" s="107"/>
      <c r="D1" s="107"/>
    </row>
    <row r="2" spans="1:4" ht="15.75" customHeight="1" x14ac:dyDescent="0.25">
      <c r="A2" s="21" t="s">
        <v>16</v>
      </c>
      <c r="B2" s="22" t="s">
        <v>17</v>
      </c>
      <c r="C2" s="22" t="s">
        <v>18</v>
      </c>
      <c r="D2" s="23" t="s">
        <v>19</v>
      </c>
    </row>
    <row r="3" spans="1:4" ht="26" x14ac:dyDescent="0.3">
      <c r="A3" s="50" t="s">
        <v>65</v>
      </c>
      <c r="B3" s="62" t="b">
        <v>0</v>
      </c>
      <c r="C3" s="51">
        <v>12</v>
      </c>
      <c r="D3" s="52" t="s">
        <v>66</v>
      </c>
    </row>
    <row r="4" spans="1:4" ht="28" customHeight="1" x14ac:dyDescent="0.3">
      <c r="A4" s="53" t="s">
        <v>67</v>
      </c>
      <c r="B4" s="59" t="b">
        <v>0</v>
      </c>
      <c r="C4" s="25">
        <v>2</v>
      </c>
      <c r="D4" s="54" t="s">
        <v>113</v>
      </c>
    </row>
    <row r="5" spans="1:4" ht="25.5" x14ac:dyDescent="0.3">
      <c r="A5" s="53" t="s">
        <v>68</v>
      </c>
      <c r="B5" s="59" t="b">
        <v>0</v>
      </c>
      <c r="C5" s="25">
        <v>3</v>
      </c>
      <c r="D5" s="54" t="s">
        <v>69</v>
      </c>
    </row>
    <row r="6" spans="1:4" ht="25.5" x14ac:dyDescent="0.3">
      <c r="A6" s="55" t="s">
        <v>70</v>
      </c>
      <c r="B6" s="63" t="b">
        <v>0</v>
      </c>
      <c r="C6" s="56">
        <v>3</v>
      </c>
      <c r="D6" s="57" t="s">
        <v>71</v>
      </c>
    </row>
    <row r="8" spans="1:4" ht="13" x14ac:dyDescent="0.3">
      <c r="B8" s="26" t="s">
        <v>27</v>
      </c>
      <c r="C8" s="27">
        <f>SUMIF(B3:B6, TRUE, C3:C6)</f>
        <v>0</v>
      </c>
    </row>
  </sheetData>
  <mergeCells count="1">
    <mergeCell ref="A1:D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8"/>
  <sheetViews>
    <sheetView workbookViewId="0">
      <pane ySplit="2" topLeftCell="A3" activePane="bottomLeft" state="frozen"/>
      <selection pane="bottomLeft" activeCell="B6" sqref="B6"/>
    </sheetView>
  </sheetViews>
  <sheetFormatPr defaultColWidth="12.6328125" defaultRowHeight="15.75" customHeight="1" x14ac:dyDescent="0.25"/>
  <cols>
    <col min="1" max="1" width="26.7265625" customWidth="1"/>
    <col min="2" max="2" width="19.26953125" customWidth="1"/>
    <col min="4" max="4" width="37.6328125" customWidth="1"/>
  </cols>
  <sheetData>
    <row r="1" spans="1:4" ht="13" x14ac:dyDescent="0.3">
      <c r="A1" s="108" t="s">
        <v>72</v>
      </c>
      <c r="B1" s="107"/>
      <c r="C1" s="107"/>
      <c r="D1" s="107"/>
    </row>
    <row r="2" spans="1:4" ht="15.75" customHeight="1" x14ac:dyDescent="0.25">
      <c r="A2" s="21" t="s">
        <v>16</v>
      </c>
      <c r="B2" s="22" t="s">
        <v>17</v>
      </c>
      <c r="C2" s="22" t="s">
        <v>18</v>
      </c>
      <c r="D2" s="23" t="s">
        <v>19</v>
      </c>
    </row>
    <row r="3" spans="1:4" ht="26" x14ac:dyDescent="0.3">
      <c r="A3" s="53" t="s">
        <v>73</v>
      </c>
      <c r="B3" s="59" t="b">
        <v>0</v>
      </c>
      <c r="C3" s="25">
        <v>2</v>
      </c>
      <c r="D3" s="87" t="s">
        <v>101</v>
      </c>
    </row>
    <row r="4" spans="1:4" ht="32.5" customHeight="1" x14ac:dyDescent="0.3">
      <c r="A4" s="58" t="s">
        <v>74</v>
      </c>
      <c r="B4" s="59" t="b">
        <v>0</v>
      </c>
      <c r="C4" s="25">
        <v>1</v>
      </c>
      <c r="D4" s="24" t="s">
        <v>75</v>
      </c>
    </row>
    <row r="5" spans="1:4" ht="27" customHeight="1" x14ac:dyDescent="0.3">
      <c r="A5" s="58" t="s">
        <v>76</v>
      </c>
      <c r="B5" s="59" t="b">
        <v>0</v>
      </c>
      <c r="C5" s="25">
        <v>11</v>
      </c>
      <c r="D5" s="24" t="s">
        <v>77</v>
      </c>
    </row>
    <row r="6" spans="1:4" ht="78" x14ac:dyDescent="0.3">
      <c r="A6" s="58" t="s">
        <v>134</v>
      </c>
      <c r="B6" s="59" t="b">
        <v>0</v>
      </c>
      <c r="C6" s="25">
        <v>6</v>
      </c>
      <c r="D6" s="24" t="s">
        <v>78</v>
      </c>
    </row>
    <row r="8" spans="1:4" ht="13" x14ac:dyDescent="0.3">
      <c r="B8" s="26" t="s">
        <v>27</v>
      </c>
      <c r="C8" s="27">
        <f>SUMIF(B3:B6, TRUE, C3:C6)</f>
        <v>0</v>
      </c>
    </row>
  </sheetData>
  <mergeCells count="1">
    <mergeCell ref="A1:D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47003-85AB-4A42-AF6D-1E5E6EA204CF}">
  <dimension ref="A1:B48"/>
  <sheetViews>
    <sheetView workbookViewId="0">
      <selection activeCell="A5" sqref="A5"/>
    </sheetView>
  </sheetViews>
  <sheetFormatPr defaultRowHeight="14" x14ac:dyDescent="0.3"/>
  <cols>
    <col min="1" max="1" width="119.90625" style="69" customWidth="1"/>
    <col min="2" max="2" width="136" style="89" customWidth="1"/>
    <col min="3" max="16384" width="8.7265625" style="69"/>
  </cols>
  <sheetData>
    <row r="1" spans="1:2" ht="28.9" customHeight="1" x14ac:dyDescent="0.45">
      <c r="A1" s="88" t="s">
        <v>114</v>
      </c>
    </row>
    <row r="2" spans="1:2" ht="28.9" customHeight="1" x14ac:dyDescent="0.45">
      <c r="A2" s="90"/>
    </row>
    <row r="3" spans="1:2" ht="14.5" x14ac:dyDescent="0.35">
      <c r="A3" s="91" t="s">
        <v>115</v>
      </c>
      <c r="B3" s="69"/>
    </row>
    <row r="4" spans="1:2" ht="28" x14ac:dyDescent="0.3">
      <c r="A4" s="89" t="s">
        <v>116</v>
      </c>
      <c r="B4" s="69"/>
    </row>
    <row r="5" spans="1:2" ht="28" x14ac:dyDescent="0.3">
      <c r="A5" s="89" t="s">
        <v>117</v>
      </c>
      <c r="B5" s="69"/>
    </row>
    <row r="6" spans="1:2" ht="28" x14ac:dyDescent="0.3">
      <c r="A6" s="89" t="s">
        <v>118</v>
      </c>
      <c r="B6" s="69"/>
    </row>
    <row r="7" spans="1:2" ht="42" x14ac:dyDescent="0.3">
      <c r="A7" s="89" t="s">
        <v>119</v>
      </c>
      <c r="B7" s="69"/>
    </row>
    <row r="8" spans="1:2" x14ac:dyDescent="0.3">
      <c r="A8" s="89" t="s">
        <v>120</v>
      </c>
      <c r="B8" s="69"/>
    </row>
    <row r="9" spans="1:2" ht="28" x14ac:dyDescent="0.3">
      <c r="A9" s="89" t="s">
        <v>121</v>
      </c>
      <c r="B9" s="69"/>
    </row>
    <row r="10" spans="1:2" ht="28" x14ac:dyDescent="0.3">
      <c r="A10" s="89" t="s">
        <v>122</v>
      </c>
      <c r="B10" s="69"/>
    </row>
    <row r="11" spans="1:2" ht="42" x14ac:dyDescent="0.3">
      <c r="A11" s="89" t="s">
        <v>123</v>
      </c>
      <c r="B11" s="69"/>
    </row>
    <row r="12" spans="1:2" ht="28" x14ac:dyDescent="0.3">
      <c r="A12" s="89" t="s">
        <v>124</v>
      </c>
      <c r="B12" s="69"/>
    </row>
    <row r="13" spans="1:2" ht="28" x14ac:dyDescent="0.3">
      <c r="A13" s="89" t="s">
        <v>125</v>
      </c>
      <c r="B13" s="69"/>
    </row>
    <row r="14" spans="1:2" ht="28" x14ac:dyDescent="0.3">
      <c r="A14" s="89" t="s">
        <v>126</v>
      </c>
      <c r="B14" s="69"/>
    </row>
    <row r="15" spans="1:2" ht="28" x14ac:dyDescent="0.3">
      <c r="A15" s="89" t="s">
        <v>127</v>
      </c>
      <c r="B15" s="69"/>
    </row>
    <row r="16" spans="1:2" ht="42" x14ac:dyDescent="0.3">
      <c r="A16" s="89" t="s">
        <v>128</v>
      </c>
      <c r="B16" s="69"/>
    </row>
    <row r="17" spans="1:2" ht="28" x14ac:dyDescent="0.3">
      <c r="A17" s="89" t="s">
        <v>129</v>
      </c>
      <c r="B17" s="69"/>
    </row>
    <row r="18" spans="1:2" ht="42" x14ac:dyDescent="0.3">
      <c r="A18" s="89" t="s">
        <v>130</v>
      </c>
      <c r="B18" s="69"/>
    </row>
    <row r="19" spans="1:2" ht="28" x14ac:dyDescent="0.3">
      <c r="A19" s="89" t="s">
        <v>131</v>
      </c>
      <c r="B19" s="69"/>
    </row>
    <row r="20" spans="1:2" ht="28" x14ac:dyDescent="0.3">
      <c r="A20" s="89" t="s">
        <v>132</v>
      </c>
      <c r="B20" s="69"/>
    </row>
    <row r="21" spans="1:2" ht="28" x14ac:dyDescent="0.3">
      <c r="A21" s="89" t="s">
        <v>133</v>
      </c>
      <c r="B21" s="69"/>
    </row>
    <row r="22" spans="1:2" x14ac:dyDescent="0.3">
      <c r="A22" s="89"/>
      <c r="B22" s="69"/>
    </row>
    <row r="23" spans="1:2" x14ac:dyDescent="0.3">
      <c r="A23" s="89"/>
      <c r="B23" s="69"/>
    </row>
    <row r="24" spans="1:2" x14ac:dyDescent="0.3">
      <c r="A24" s="89"/>
      <c r="B24" s="69"/>
    </row>
    <row r="25" spans="1:2" x14ac:dyDescent="0.3">
      <c r="A25" s="89"/>
      <c r="B25" s="69"/>
    </row>
    <row r="26" spans="1:2" x14ac:dyDescent="0.3">
      <c r="A26" s="89"/>
      <c r="B26" s="69"/>
    </row>
    <row r="27" spans="1:2" x14ac:dyDescent="0.3">
      <c r="A27" s="89"/>
      <c r="B27" s="69"/>
    </row>
    <row r="28" spans="1:2" x14ac:dyDescent="0.3">
      <c r="A28" s="89"/>
      <c r="B28" s="69"/>
    </row>
    <row r="29" spans="1:2" x14ac:dyDescent="0.3">
      <c r="A29" s="89"/>
      <c r="B29" s="69"/>
    </row>
    <row r="30" spans="1:2" x14ac:dyDescent="0.3">
      <c r="A30" s="89"/>
      <c r="B30" s="69"/>
    </row>
    <row r="31" spans="1:2" x14ac:dyDescent="0.3">
      <c r="A31" s="89"/>
      <c r="B31" s="69"/>
    </row>
    <row r="32" spans="1:2" x14ac:dyDescent="0.3">
      <c r="A32" s="89"/>
      <c r="B32" s="69"/>
    </row>
    <row r="33" spans="1:2" x14ac:dyDescent="0.3">
      <c r="A33" s="89"/>
      <c r="B33" s="69"/>
    </row>
    <row r="34" spans="1:2" x14ac:dyDescent="0.3">
      <c r="A34" s="89"/>
      <c r="B34" s="69"/>
    </row>
    <row r="35" spans="1:2" x14ac:dyDescent="0.3">
      <c r="A35" s="89"/>
      <c r="B35" s="69"/>
    </row>
    <row r="36" spans="1:2" x14ac:dyDescent="0.3">
      <c r="A36" s="89"/>
      <c r="B36" s="69"/>
    </row>
    <row r="37" spans="1:2" x14ac:dyDescent="0.3">
      <c r="A37" s="89"/>
      <c r="B37" s="69"/>
    </row>
    <row r="38" spans="1:2" x14ac:dyDescent="0.3">
      <c r="A38" s="89"/>
      <c r="B38" s="69"/>
    </row>
    <row r="39" spans="1:2" x14ac:dyDescent="0.3">
      <c r="A39" s="89"/>
      <c r="B39" s="69"/>
    </row>
    <row r="40" spans="1:2" x14ac:dyDescent="0.3">
      <c r="A40" s="89"/>
      <c r="B40" s="69"/>
    </row>
    <row r="41" spans="1:2" x14ac:dyDescent="0.3">
      <c r="A41" s="89"/>
      <c r="B41" s="69"/>
    </row>
    <row r="42" spans="1:2" x14ac:dyDescent="0.3">
      <c r="A42" s="89"/>
      <c r="B42" s="69"/>
    </row>
    <row r="43" spans="1:2" x14ac:dyDescent="0.3">
      <c r="A43" s="89"/>
      <c r="B43" s="69"/>
    </row>
    <row r="44" spans="1:2" x14ac:dyDescent="0.3">
      <c r="A44" s="89"/>
      <c r="B44" s="69"/>
    </row>
    <row r="45" spans="1:2" x14ac:dyDescent="0.3">
      <c r="A45" s="89"/>
      <c r="B45" s="69"/>
    </row>
    <row r="46" spans="1:2" x14ac:dyDescent="0.3">
      <c r="A46" s="89"/>
      <c r="B46" s="69"/>
    </row>
    <row r="47" spans="1:2" x14ac:dyDescent="0.3">
      <c r="A47" s="89"/>
      <c r="B47" s="69"/>
    </row>
    <row r="48" spans="1:2" x14ac:dyDescent="0.3">
      <c r="A48" s="89"/>
      <c r="B48" s="69"/>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Index</vt:lpstr>
      <vt:lpstr>Calculator Page</vt:lpstr>
      <vt:lpstr>Recurrence Interval</vt:lpstr>
      <vt:lpstr>Lahars</vt:lpstr>
      <vt:lpstr>PDCs</vt:lpstr>
      <vt:lpstr>Tephra</vt:lpstr>
      <vt:lpstr>Volcanic Tsunami</vt:lpstr>
      <vt:lpstr>Littoral Hazards</vt:lpstr>
      <vt:lpstr>Bibliography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hollytaylor</dc:creator>
  <cp:lastModifiedBy>Holly Taylor</cp:lastModifiedBy>
  <dcterms:created xsi:type="dcterms:W3CDTF">2025-10-13T04:43:20Z</dcterms:created>
  <dcterms:modified xsi:type="dcterms:W3CDTF">2025-10-23T03:29:36Z</dcterms:modified>
</cp:coreProperties>
</file>